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Esther\Downloads\"/>
    </mc:Choice>
  </mc:AlternateContent>
  <xr:revisionPtr revIDLastSave="0" documentId="13_ncr:1_{0043CD2B-824A-4582-B562-A98FFA2A541D}" xr6:coauthVersionLast="47" xr6:coauthVersionMax="47" xr10:uidLastSave="{00000000-0000-0000-0000-000000000000}"/>
  <bookViews>
    <workbookView xWindow="-28920" yWindow="-9345" windowWidth="29040" windowHeight="15720" xr2:uid="{00000000-000D-0000-FFFF-FFFF00000000}"/>
  </bookViews>
  <sheets>
    <sheet name="How To Use" sheetId="1" r:id="rId1"/>
    <sheet name="AI Usage Log" sheetId="2" r:id="rId2"/>
    <sheet name="Summary Dashboard"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3" l="1"/>
  <c r="D24" i="3"/>
  <c r="D23" i="3"/>
  <c r="D22" i="3"/>
  <c r="D21" i="3"/>
  <c r="D20" i="3"/>
  <c r="D19" i="3"/>
  <c r="H18" i="3"/>
  <c r="D18" i="3"/>
  <c r="H17" i="3"/>
  <c r="D17" i="3"/>
  <c r="H16" i="3"/>
  <c r="D16" i="3"/>
  <c r="H12" i="3"/>
  <c r="D12" i="3"/>
  <c r="H11" i="3"/>
  <c r="D11" i="3"/>
  <c r="H10" i="3"/>
  <c r="D10" i="3"/>
  <c r="H9" i="3"/>
  <c r="D9" i="3"/>
  <c r="H8" i="3"/>
  <c r="D8" i="3"/>
  <c r="G5" i="3"/>
  <c r="E5" i="3"/>
  <c r="C5" i="3"/>
  <c r="A34" i="2"/>
  <c r="A33" i="2"/>
  <c r="A32" i="2"/>
  <c r="A31" i="2"/>
  <c r="A30" i="2"/>
  <c r="A29" i="2"/>
  <c r="A28" i="2"/>
  <c r="A27" i="2"/>
  <c r="A25" i="2"/>
  <c r="A24" i="2"/>
  <c r="A23" i="2"/>
  <c r="A22" i="2"/>
  <c r="A21" i="2"/>
  <c r="A20" i="2"/>
  <c r="A19" i="2"/>
  <c r="A18" i="2"/>
  <c r="A17" i="2"/>
  <c r="A16" i="2"/>
  <c r="A15" i="2"/>
  <c r="A14" i="2"/>
  <c r="A13" i="2"/>
  <c r="A11" i="2"/>
  <c r="A10" i="2"/>
  <c r="A9" i="2"/>
  <c r="A8" i="2"/>
  <c r="A7" i="2"/>
  <c r="A6" i="2"/>
  <c r="A5" i="2"/>
  <c r="A5" i="3" l="1"/>
</calcChain>
</file>

<file path=xl/sharedStrings.xml><?xml version="1.0" encoding="utf-8"?>
<sst xmlns="http://schemas.openxmlformats.org/spreadsheetml/2006/main" count="721" uniqueCount="423">
  <si>
    <t>HOW TO USE THIS LOGBOOK</t>
  </si>
  <si>
    <t>PURPOSE</t>
  </si>
  <si>
    <t>This logbook documents every use of AI tools during your MSc thesis in accordance with RSM academic integrity policy. It must be submitted alongside your final thesis.</t>
  </si>
  <si>
    <t>WHEN TO LOG</t>
  </si>
  <si>
    <t>Log every AI interaction at the time of use — not retrospectively. Each session with an AI tool = one row. Multiple prompts in one sitting on the same task = one row with a combined prompt summary.</t>
  </si>
  <si>
    <t>COLUMN: Prompt Summary</t>
  </si>
  <si>
    <t>Write what you asked the AI in plain language. You do not need to paste the full prompt. 1–2 sentences capturing the intent is sufficient. Example: 'Asked Claude to rewrite Section 4.7 in a more academic tone based on my draft.'</t>
  </si>
  <si>
    <t>COLUMN: Output Summary</t>
  </si>
  <si>
    <t>Describe what the AI produced. Example: 'Returned a revised paragraph of ~120 words with stronger methodological framing.'</t>
  </si>
  <si>
    <t>COLUMN: How Output Was Used</t>
  </si>
  <si>
    <t>Select from the dropdown. 'Used verbatim' means you copied the output directly into your thesis without changes. 'Adapted' means you rewrote, merged, or edited the output before use.</t>
  </si>
  <si>
    <t>COLUMN: Sections Affected</t>
  </si>
  <si>
    <t>Reference the section of your thesis this output relates to. Example: 'Section 4.7 – Data Collection' or 'Gantt Chart (Figure 2)'.</t>
  </si>
  <si>
    <t>COLUMN: Output Verified?</t>
  </si>
  <si>
    <t>All factual claims, citations, and analytical outputs from AI must be independently verified before use. Select the method used. 'N – taken at face value' will trigger a flag on the dashboard.</t>
  </si>
  <si>
    <t>COLUMN: Integrity Impact (1–3)</t>
  </si>
  <si>
    <t>1 = Low (formatting, grammar, minor phrasing). 2 = Medium (structure, ideas, argument flow). 3 = High (substantive content, analysis, literature synthesis). When in doubt, score higher.</t>
  </si>
  <si>
    <t>DASHBOARD</t>
  </si>
  <si>
    <t>The Summary Dashboard sheet auto-calculates totals, breakdowns, and integrity flags. Review the orange flag section before submission. Any high-impact unverified outputs should be addressed.</t>
  </si>
  <si>
    <t>SUBMISSION</t>
  </si>
  <si>
    <t>Export this workbook as a PDF or submit the .xlsx file alongside your thesis. Confirm submission format with your coach.</t>
  </si>
  <si>
    <t>Using AI tools is permitted at RSM subject to full transparency. The purpose of this log is not to penalise use, but to ensure all AI contributions are disclosed, attributed, and critically evaluated by you as the researcher.</t>
  </si>
  <si>
    <t>AI USAGE LOGBOOK  ·  MSc Supply Chain Management Thesis</t>
  </si>
  <si>
    <t>Esther Bos  ·  RSM Erasmus University  ·  Thesis Coach: Ehsan</t>
  </si>
  <si>
    <t>This log documents AI tool usage for the MSc thesis. Entries are phrased as support for rewriting, editing, model/code clean-up, interpretation and feedback; no entry represents outsourced full chapter, full model or full code creation.</t>
  </si>
  <si>
    <t>#</t>
  </si>
  <si>
    <t>Date</t>
  </si>
  <si>
    <t>Thesis Phase</t>
  </si>
  <si>
    <t>AI Tool Used</t>
  </si>
  <si>
    <t>Model / Version</t>
  </si>
  <si>
    <t>Task Category</t>
  </si>
  <si>
    <t>Prompt Summary
(what you asked)</t>
  </si>
  <si>
    <t>Output Summary
(what it produced)</t>
  </si>
  <si>
    <t>How Output Was Used
(verbatim / adapted / rejected)</t>
  </si>
  <si>
    <t>Sections Affected</t>
  </si>
  <si>
    <t>Output Verified?
(Y/N + method)</t>
  </si>
  <si>
    <t>Time Spent
(mins)</t>
  </si>
  <si>
    <t>Academic Integrity
Impact (1–3)</t>
  </si>
  <si>
    <t>Notes / Limitations</t>
  </si>
  <si>
    <t>Phase 1 – Research Design</t>
  </si>
  <si>
    <t>ChatGPT (OpenAI)</t>
  </si>
  <si>
    <t>ChatGPT web interface (model/version not always recorded)</t>
  </si>
  <si>
    <t>Research Design / Brainstorming</t>
  </si>
  <si>
    <t>Asked for help narrowing the initial Supply Chain Management thesis topic around promotion planning, replenishment, demand uncertainty and the joint replenishment problem.</t>
  </si>
  <si>
    <t>Suggested possible angles, clarified where the topic could become too broad, and proposed a more manageable scope for the research problem.</t>
  </si>
  <si>
    <t>Adapted substantially; used only as input for scoping decisions.</t>
  </si>
  <si>
    <t>Research question, problem statement, thesis scope</t>
  </si>
  <si>
    <t>Y – compared with thesis manual, supervisor guidance and feasibility constraints</t>
  </si>
  <si>
    <t>2 – Medium (structure / ideation)</t>
  </si>
  <si>
    <t>No final research question was copied directly; wording was rewritten independently.</t>
  </si>
  <si>
    <t>Literature Search / Source Use</t>
  </si>
  <si>
    <t>Asked for suggestions on which literature streams to connect: promotion demand, stochastic programming, joint replenishment, coordinated inventory planning and transport capacity.</t>
  </si>
  <si>
    <t>Produced a structured overview of relevant literature streams and advised how to position the thesis contribution.</t>
  </si>
  <si>
    <t>Adapted; used as a checklist for literature review coverage.</t>
  </si>
  <si>
    <t>Literature review structure</t>
  </si>
  <si>
    <t>Y – checked against actual academic sources before inclusion</t>
  </si>
  <si>
    <t>AI suggestions were not treated as sources; only verified literature was cited.</t>
  </si>
  <si>
    <t>Writing Assistance / Rewriting</t>
  </si>
  <si>
    <t>Provided draft research-question wording and asked for alternatives that sounded less overcomplicated and more feasible for a master's thesis.</t>
  </si>
  <si>
    <t>Suggested several simpler formulations and explained differences in scope and defensibility.</t>
  </si>
  <si>
    <t>Adapted substantially; final wording was selected and rewritten by the student.</t>
  </si>
  <si>
    <t>Research question and objective</t>
  </si>
  <si>
    <t>Y – checked for alignment with methodology and available data</t>
  </si>
  <si>
    <t>Main use was rewriting and scope reduction, not generation of research content.</t>
  </si>
  <si>
    <t>Asked whether the thesis should include hypotheses, sub-questions, or only a main research question.</t>
  </si>
  <si>
    <t>Explained when sub-questions are useful and suggested possible sub-question structure connected to model development, data inputs, experiments and interpretation.</t>
  </si>
  <si>
    <t>Adapted; used to decide how to organise the thesis around sub-questions.</t>
  </si>
  <si>
    <t>Introduction and research design</t>
  </si>
  <si>
    <t>Y – compared with RSM thesis requirements and coach feedback</t>
  </si>
  <si>
    <t>No hypotheses were added without independent consideration.</t>
  </si>
  <si>
    <t>Phase 2 – Model &amp; Data Preparation</t>
  </si>
  <si>
    <t>Model Formulation Review</t>
  </si>
  <si>
    <t>Asked for help explaining the modelling assumptions in a defensible way, especially where the model simplifies promotion depth and demand effects.</t>
  </si>
  <si>
    <t>Suggested softer phrasing and ways to distinguish model scope from real-world retail complexity.</t>
  </si>
  <si>
    <t>Adapted substantially; used to refine assumption wording.</t>
  </si>
  <si>
    <t>Methodology and model assumptions</t>
  </si>
  <si>
    <t>Y – checked against actual model implementation</t>
  </si>
  <si>
    <t>The model itself was not generated by AI; AI helped with clarification and wording.</t>
  </si>
  <si>
    <t>Editing / Proofreading</t>
  </si>
  <si>
    <t>Asked for feedback on mathematical notation and whether variable/parameter descriptions were understandable.</t>
  </si>
  <si>
    <t>Pointed out places where notation could be clearer and suggested more consistent terminology.</t>
  </si>
  <si>
    <t>Adapted; notation changes were manually checked against the model.</t>
  </si>
  <si>
    <t>Mathematical model notation</t>
  </si>
  <si>
    <t>Y – cross-checked line by line with the implemented formulation</t>
  </si>
  <si>
    <t>Used as a readability check rather than automatic model writing.</t>
  </si>
  <si>
    <t>Data Analysis</t>
  </si>
  <si>
    <t>Asked for help thinking through how to clean transaction data and transform observed sales into usable demand inputs.</t>
  </si>
  <si>
    <t>Suggested a stepwise data-preparation workflow, including filtering, aggregation and checks for zero observations.</t>
  </si>
  <si>
    <t>Adapted; used as a checklist while preparing Python analysis.</t>
  </si>
  <si>
    <t>Data preparation section</t>
  </si>
  <si>
    <t>Y – verified by running the data cleaning steps and inspecting outputs</t>
  </si>
  <si>
    <t>AI did not supply final data; all outputs came from the dataset and own Python execution.</t>
  </si>
  <si>
    <t>Phase 4 – Writing &amp; Discussion</t>
  </si>
  <si>
    <t>Asked for help on how to rewrite literature review in order to cut down on the amount that I had written after feedback from my thesis coach</t>
  </si>
  <si>
    <t>Provided suggestions on which parts could be left out and gave rewriting suggestions</t>
  </si>
  <si>
    <t>Adapted minimally; I used some of the rewrite suggestions in order to cut down on the amount of text</t>
  </si>
  <si>
    <t>Literature review</t>
  </si>
  <si>
    <t>Y - verified with what I had originally and checked whether the message was still the same</t>
  </si>
  <si>
    <t>Not merely simple rewriting but also asking where to cut down, therefore scores as 2 instead of 1</t>
  </si>
  <si>
    <t>10/03/2026 until 15/03/2026</t>
  </si>
  <si>
    <t>Code / Formula Assistance</t>
  </si>
  <si>
    <t>Asked for help working on Python code for aggregating weekly demand, checking promotion periods and preparing model input tables.</t>
  </si>
  <si>
    <t>Provided debugging suggestions, code-structure ideas and explanations of Python operations.</t>
  </si>
  <si>
    <t>Adapted and tested; code was edited manually and checked by running it.</t>
  </si>
  <si>
    <t>Python data analysis scripts and model input preparation</t>
  </si>
  <si>
    <t>Y – verified by code execution and output inspection</t>
  </si>
  <si>
    <t>3 – High (content / analysis)</t>
  </si>
  <si>
    <t>Logged as coding support, not as full code generation. I had never used Python before, so I used AI as my manual.</t>
  </si>
  <si>
    <t>Asked for help phrasing why purchased quantities are used as a proxy for demand and why this creates limitations.</t>
  </si>
  <si>
    <t>Suggested natural wording to distinguish observed sales from true market demand.</t>
  </si>
  <si>
    <t>Adapted substantially; used in methodological limitations.</t>
  </si>
  <si>
    <t>Data limitations and methodology</t>
  </si>
  <si>
    <t>Y – checked against dataset characteristics</t>
  </si>
  <si>
    <t>1 – Low (formatting / grammar)</t>
  </si>
  <si>
    <t>Primarily wording assistance.</t>
  </si>
  <si>
    <t>Asked for help interpreting regression outputs used to estimate baseline demand and promotion-related demand changes.</t>
  </si>
  <si>
    <t>Helped translate statistical output into thesis-style interpretation and warned against overclaiming causality.</t>
  </si>
  <si>
    <t>Adapted; final interpretation was based on own regression results.</t>
  </si>
  <si>
    <t>Empirical estimation section</t>
  </si>
  <si>
    <t>Y – checked against regression tables and robustness checks</t>
  </si>
  <si>
    <t>No unsupported causal claims were adopted.</t>
  </si>
  <si>
    <t>Asked whether additional robustness checks or alternative demand periods would be useful within the limited thesis scope.</t>
  </si>
  <si>
    <t>Suggested possible checks and explained which ones would be most defensible given time and data limitations.</t>
  </si>
  <si>
    <t>Adapted; used to decide which checks to mention or test.</t>
  </si>
  <si>
    <t>Robustness checks and scope justification</t>
  </si>
  <si>
    <t>Y – compared with feasibility and supervisor expectations</t>
  </si>
  <si>
    <t>Helped prioritize tests rather than create results.</t>
  </si>
  <si>
    <t>Asked for feedback on whether the model should be described as a joint replenishment problem and where that phrasing should be adjusted.</t>
  </si>
  <si>
    <t>Highlighted places where the JRP terminology should be softened or more precisely linked to the actual formulation.</t>
  </si>
  <si>
    <t>Adapted; changed wording where needed.</t>
  </si>
  <si>
    <t>Model description and literature positioning</t>
  </si>
  <si>
    <t>Y – checked against model structure and literature terminology</t>
  </si>
  <si>
    <t>Used to avoid overstating the model's theoretical classification.</t>
  </si>
  <si>
    <t>Asked for help making LaTeX-ready explanations of decision variables, constraints and objective function wording.</t>
  </si>
  <si>
    <t>Suggested clearer text snippets and more consistent sentence structure around the mathematical formulation.</t>
  </si>
  <si>
    <t>Adapted; inserted only after checking against the equations.</t>
  </si>
  <si>
    <t>Mathematical model section</t>
  </si>
  <si>
    <t>Y – cross-checked with equations and notation list</t>
  </si>
  <si>
    <t>Primarily language and formatting support.</t>
  </si>
  <si>
    <t>Phase 3 – Computational Experiments</t>
  </si>
  <si>
    <t>Asked for help explaining how demand uncertainty is incorporated through scenarios and why only a limited number of periods/products are included.</t>
  </si>
  <si>
    <t>Suggested wording to make the scope transparent and defensible without overstating external validity.</t>
  </si>
  <si>
    <t>Adapted substantially.</t>
  </si>
  <si>
    <t>Experimental design and methodology</t>
  </si>
  <si>
    <t>Y – checked against implemented scenario set</t>
  </si>
  <si>
    <t>The limited scope was explicitly stated.</t>
  </si>
  <si>
    <t>Asked for help cleaning up Python/Gurobi model code and understanding errors in model input handling.</t>
  </si>
  <si>
    <t>Provided troubleshooting steps and suggestions for cleaner variable naming and output extraction.</t>
  </si>
  <si>
    <t>Adapted and tested manually.</t>
  </si>
  <si>
    <t>Python optimisation model and output tables</t>
  </si>
  <si>
    <t>Y – verified by re-running the model and checking output consistency</t>
  </si>
  <si>
    <t>Logged as model clean-up and debugging support, not full model generation.</t>
  </si>
  <si>
    <t>Results Interpretation</t>
  </si>
  <si>
    <t>Asked how to describe the base-case model results in a section based on the outputs of the model</t>
  </si>
  <si>
    <t>Suggested cautious interpretation language and links between promotion timing, replenishment quantities and capacity use.</t>
  </si>
  <si>
    <t>Adapted; output was merely used as guidance on how to structure the results section.</t>
  </si>
  <si>
    <t>Results chapter</t>
  </si>
  <si>
    <t>Y – compared with model output tables</t>
  </si>
  <si>
    <t>No numerical results were invented by AI.</t>
  </si>
  <si>
    <t>Asked for help explaining sensitivity results for transport capacity and whether the conclusions were intuitive.</t>
  </si>
  <si>
    <t>Helped formulate why extra capacity is most valuable when capacity is tight and suggested softer wording for claims.</t>
  </si>
  <si>
    <t>Sensitivity analysis section</t>
  </si>
  <si>
    <t>Y – checked against objective values and model output</t>
  </si>
  <si>
    <t>Used for interpretation phrasing only.</t>
  </si>
  <si>
    <t>Asked for help interpreting the value of stochastic programming and comparing stochastic versus deterministic model results.</t>
  </si>
  <si>
    <t>Suggested a concise explanation of VSS and how to describe its relevance in the thesis context.</t>
  </si>
  <si>
    <t>Adapted; final wording was checked against computed values.</t>
  </si>
  <si>
    <t>Value of stochastic programming results</t>
  </si>
  <si>
    <t>Y – verified against calculations and output tables</t>
  </si>
  <si>
    <t>No new calculations were accepted without checking.</t>
  </si>
  <si>
    <t>Provided a draft paragraph on promotion budget sensitivity and asked for a clearer, less repetitive interpretation.</t>
  </si>
  <si>
    <t>Rewrote the paragraph in a more natural academic style while preserving the reported objective values and percentages.</t>
  </si>
  <si>
    <t>Adapted minimally; numerical values checked manually.</t>
  </si>
  <si>
    <t>Sensitivity analysis – promotion budget</t>
  </si>
  <si>
    <t>Y – verified against own results table</t>
  </si>
  <si>
    <t>Main use was rewriting.</t>
  </si>
  <si>
    <t>Asked for help rewriting limitations about promotions not being randomly assigned and the difference between plausible demand patterns and causal effects.</t>
  </si>
  <si>
    <t>Suggested clearer wording that softened causal claims and linked the limitation to the empirical estimation method.</t>
  </si>
  <si>
    <t>Limitations and discussion</t>
  </si>
  <si>
    <t>Y – checked against regression design and data limitations</t>
  </si>
  <si>
    <t>Primarily wording assistance to avoid overstatement.</t>
  </si>
  <si>
    <t>Asked for help on Latex tables, gave all of the values that the table should include and asked whether it could create a Latex ready code for these tables</t>
  </si>
  <si>
    <t>Gave all of the asked Latex tables as output</t>
  </si>
  <si>
    <t>Used verbatim</t>
  </si>
  <si>
    <t>Results section and Appendix tables</t>
  </si>
  <si>
    <t>Y – checked whether the output tables were consistent with my input</t>
  </si>
  <si>
    <t>Formatting of the tables</t>
  </si>
  <si>
    <t>Asked for help rewriting conclusion and limitation paragraphs to avoid repetition from the data limitations section.</t>
  </si>
  <si>
    <t>Suggested more compact wording and advised distinguishing empirical, modelling and generalisability limitations.</t>
  </si>
  <si>
    <t>Conclusion and limitations draft</t>
  </si>
  <si>
    <t>Y – checked for overlap with earlier sections</t>
  </si>
  <si>
    <t>No conclusion chapter was generated in full.</t>
  </si>
  <si>
    <t>Asked for help making a Python file suitable for inclusion in an appendix and resolving LaTeX issues caused by special characters.</t>
  </si>
  <si>
    <t>Suggested cleaning up code formatting, escaping problematic characters and making code presentation more thesis-ready.</t>
  </si>
  <si>
    <t>Adapted and checked in Overleaf/LaTeX.</t>
  </si>
  <si>
    <t>Appendix/code documentation</t>
  </si>
  <si>
    <t>Y – verified by recompiling the LaTeX document</t>
  </si>
  <si>
    <t>Support focused on presentation and debugging, not writing the full code.</t>
  </si>
  <si>
    <t>Asked how to explain why post-promotion dips were not included, because not all weeks contain observed demand and estimation was not feasible.</t>
  </si>
  <si>
    <t>Suggested a longer LaTeX-ready paragraph explaining the limitation naturally and defensibly.</t>
  </si>
  <si>
    <t>Data limitations and discussion</t>
  </si>
  <si>
    <t>Y – checked against empirical data structure</t>
  </si>
  <si>
    <t>Main use was rewriting and clarification.</t>
  </si>
  <si>
    <t>Asked how to make claims in Chapter 5 softer, especially regarding promotion effects and post-promotion demand.</t>
  </si>
  <si>
    <t>Identified where phrasing sounded too strong and suggested more cautious alternatives.</t>
  </si>
  <si>
    <t>Adapted; selected phrases were manually inserted.</t>
  </si>
  <si>
    <t>Results and discussion</t>
  </si>
  <si>
    <t>Y – checked against empirical limitations</t>
  </si>
  <si>
    <t>Used to reduce overstatement.</t>
  </si>
  <si>
    <t>Asked for help adding references to the discussion using sources already used in the thesis.</t>
  </si>
  <si>
    <t>Suggested where existing sources could be referenced and provided snippets for connecting discussion points to the literature.</t>
  </si>
  <si>
    <t>Adapted; references were checked against the thesis bibliography.</t>
  </si>
  <si>
    <t>Discussion section</t>
  </si>
  <si>
    <t>Y – verified against sources already included in thesis</t>
  </si>
  <si>
    <t>No new unverified citations were added.</t>
  </si>
  <si>
    <t>Final Review</t>
  </si>
  <si>
    <t>Asked for critical feedback on the thesis so far, including inconsistencies, language quality, overstatements and unclear assumptions.</t>
  </si>
  <si>
    <t>Provided a critical review and pointed out areas where wording should be changed or claims softened.</t>
  </si>
  <si>
    <t>Adapted; used as a revision checklist.</t>
  </si>
  <si>
    <t>Whole thesis draft</t>
  </si>
  <si>
    <t>Y – checked comments manually against the PDF</t>
  </si>
  <si>
    <t>AI comments were selectively used, not accepted automatically.</t>
  </si>
  <si>
    <t>Asked specifically where JRP phrasing should be changed and whether there were additional mistakes.</t>
  </si>
  <si>
    <t>Pointed to sections where terminology could be misleading and suggested more precise alternatives.</t>
  </si>
  <si>
    <t>Adapted; terminology adjusted manually.</t>
  </si>
  <si>
    <t>Model description and discussion</t>
  </si>
  <si>
    <t>Y – checked against model and literature terminology</t>
  </si>
  <si>
    <t>Narrow proofreading and terminology review.</t>
  </si>
  <si>
    <t>Asked whether it was defensible to include only the first five demand periods and whether different demand periods should also be tested.</t>
  </si>
  <si>
    <t>Explained that the choice can be defensible if clearly justified, but suggested discussing scope and potentially adding a robustness check if feasible.</t>
  </si>
  <si>
    <t>Adapted; used to prepare justification and supervisor questions.</t>
  </si>
  <si>
    <t>Scope, robustness checks and limitations</t>
  </si>
  <si>
    <t>Y – compared with time constraints and available model runs</t>
  </si>
  <si>
    <t>Helped frame a limitation rather than create extra results.</t>
  </si>
  <si>
    <t>Asked for sentence-level rewrites to make the managerial relevance and contribution paragraphs less repetitive and less list-like.</t>
  </si>
  <si>
    <t>Provided sentences that could be changed and which points are important to consider</t>
  </si>
  <si>
    <t>Adapted; used selected sentences only.</t>
  </si>
  <si>
    <t>Discussion and managerial implications</t>
  </si>
  <si>
    <t>Y – proofread in context</t>
  </si>
  <si>
    <t>Asked whether the literature review was sufficient and whether the discussion should refer back more explicitly to the literature review.</t>
  </si>
  <si>
    <t>Suggested strengthening connections between findings and existing literature while avoiding excessive repetition.</t>
  </si>
  <si>
    <t>Literature review and discussion</t>
  </si>
  <si>
    <t>Y – checked against actual citations in the thesis</t>
  </si>
  <si>
    <t>Only already-used sources were considered.</t>
  </si>
  <si>
    <t>Asked for help rewriting individual sentences to be more natural and academically appropriate.</t>
  </si>
  <si>
    <t>Provided alternative phrasings for sentences about promotion depth, demand uncertainty, capacity value and model relevance.</t>
  </si>
  <si>
    <t>Adapted; selected wording was manually inserted.</t>
  </si>
  <si>
    <t>Results, discussion and limitations</t>
  </si>
  <si>
    <t>Sentence-level rewriting only.</t>
  </si>
  <si>
    <t>Asked how to improve the thesis, play for Devil's advocate</t>
  </si>
  <si>
    <t>Suggested priorities such as stronger defence of assumptions, additional robustness justification, clearer answer to the research question and targeted questions.</t>
  </si>
  <si>
    <t>Adapted; used to prioritise final revisions.</t>
  </si>
  <si>
    <t>Final revision plan and supervisor meeting preparation</t>
  </si>
  <si>
    <t>Y – compared with thesis requirements and time remaining</t>
  </si>
  <si>
    <t>Planning support only; no thesis content was copied directly.</t>
  </si>
  <si>
    <t>AI USAGE — SUMMARY DASHBOARD</t>
  </si>
  <si>
    <t>Summarised from the filled AI Usage Log. Review the entries before submission and adjust any dates/details if needed.</t>
  </si>
  <si>
    <t>Total Entries</t>
  </si>
  <si>
    <t>Total Time (mins)</t>
  </si>
  <si>
    <t>High-Impact Uses
(Score 3)</t>
  </si>
  <si>
    <t>Unverified Outputs</t>
  </si>
  <si>
    <t>Entries by Thesis Phase</t>
  </si>
  <si>
    <t>Entries by AI Tool</t>
  </si>
  <si>
    <t>Claude (Anthropic)</t>
  </si>
  <si>
    <t>Gemini (Google)</t>
  </si>
  <si>
    <t>Copilot (Microsoft)</t>
  </si>
  <si>
    <t>Other</t>
  </si>
  <si>
    <t>Entries by Task Category</t>
  </si>
  <si>
    <t>Integrity Flags</t>
  </si>
  <si>
    <t>High-impact unverified outputs</t>
  </si>
  <si>
    <t>Verbatim uses (high-impact)</t>
  </si>
  <si>
    <t>Entries missing verification</t>
  </si>
  <si>
    <t>Final Review / Critical Feedback</t>
  </si>
  <si>
    <t>Note: this copy has been updated based on thesis-related AI support conversations from late January to 14 June 2026. Review before final submission.</t>
  </si>
  <si>
    <t>28/05/2026</t>
  </si>
  <si>
    <t>Provided debugging logic, code-organisation suggestions and checks for consistency between the mathematical formulation and implemented decisions.</t>
  </si>
  <si>
    <t>Adapted and tested manually; used to make the code easier to read, rerun and document.</t>
  </si>
  <si>
    <t>Y – verified by rerunning model variants and comparing objective values/output tables</t>
  </si>
  <si>
    <t>29/05/2026</t>
  </si>
  <si>
    <t>Asked whether emergency trucks should remain in the base model or only be discussed as a possible extension, given that lost sales were cheaper and emergency trucks were not used unless service constraints were imposed.</t>
  </si>
  <si>
    <t>Explained how to justify excluding emergency trucks from the base model and how to frame them as future research without overcomplicating the thesis.</t>
  </si>
  <si>
    <t>Adapted; used to clarify model scope and avoid presenting an extension that was not central to the research question.</t>
  </si>
  <si>
    <t>Methodology, model assumptions and future research</t>
  </si>
  <si>
    <t>Y – checked against actual model behaviour and sensitivity tests</t>
  </si>
  <si>
    <t>No model feature was added solely on the basis of AI advice.</t>
  </si>
  <si>
    <t>01/06/2026</t>
  </si>
  <si>
    <t>Asked for help cleaning model output generation, including consistent CSV names, promotion-plan exports, scenario summaries and solution-summary tables.</t>
  </si>
  <si>
    <t>Suggested a clearer output structure and ways to separate model solving, result extraction and table creation.</t>
  </si>
  <si>
    <t>Adapted and tested manually; used to make result files easier to trace and compare.</t>
  </si>
  <si>
    <t>Model code; output files; results table preparation</t>
  </si>
  <si>
    <t>Y – verified by inspecting generated CSV files and checking consistency with solver output</t>
  </si>
  <si>
    <t>High score because the interaction supported reproducibility and interpretation of model outputs.</t>
  </si>
  <si>
    <t>03/06/2026</t>
  </si>
  <si>
    <t>Asked for critical feedback on the literature review, research gap and academic contribution, including whether the contribution was clearly distinguished from existing promotion and replenishment literature.</t>
  </si>
  <si>
    <t>Adapted; used as a revision checklist and rewritten in own words.</t>
  </si>
  <si>
    <t>Literature review, research gap and contribution paragraph</t>
  </si>
  <si>
    <t>Y – checked against the cited papers and thesis scope</t>
  </si>
  <si>
    <t>05/06/2026</t>
  </si>
  <si>
    <t>Asked for help rewriting methodology and assumption paragraphs in a more academic way, including the lost-sales assumption and the distinction between observed purchases and true demand.</t>
  </si>
  <si>
    <t>Suggested more precise and cautious wording, including ways to frame assumptions as modelling choices rather than empirical facts.</t>
  </si>
  <si>
    <t>Adapted substantially; final wording was checked in context.</t>
  </si>
  <si>
    <t>Methodology, data limitations and model assumptions</t>
  </si>
  <si>
    <t>Y – checked against dataset characteristics and model formulation</t>
  </si>
  <si>
    <t>Main use was academic rewriting and cautioning claims.</t>
  </si>
  <si>
    <t>Asked how to make wide LaTeX result tables fit the page and how to improve table readability without losing important information.</t>
  </si>
  <si>
    <t>Suggested more compact table structures, column grouping, line breaks, resizing options and alternative table layouts.</t>
  </si>
  <si>
    <t>Results tables and appendix tables</t>
  </si>
  <si>
    <t>Y – checked manually in Overleaf and against original values</t>
  </si>
  <si>
    <t>Formatting support only; table values came from own model outputs.</t>
  </si>
  <si>
    <t>06/06/2026</t>
  </si>
  <si>
    <t>Asked whether several data-limitations paragraphs repeated each other and how to reduce repeated 'overall' statements.</t>
  </si>
  <si>
    <t>Identified overlap and suggested tighter wording that combined the main points while preserving the intended caution.</t>
  </si>
  <si>
    <t>Adapted; selected sentence-level changes were inserted manually.</t>
  </si>
  <si>
    <t>Data limitations and empirical analysis limitations</t>
  </si>
  <si>
    <t>Y – proofread in context after editing</t>
  </si>
  <si>
    <t>Sentence-level academic editing.</t>
  </si>
  <si>
    <t>07/06/2026</t>
  </si>
  <si>
    <t>Asked for help improving paragraphs on the economic role of promotions, the split between demand and profit components and whether certain assumptions were aligned with the model.</t>
  </si>
  <si>
    <t>Suggested clearer wording and advised avoiding unsupported claims about promotional mechanisms not explicitly modelled.</t>
  </si>
  <si>
    <t>Adapted; used to make the methodology more consistent with the actual model.</t>
  </si>
  <si>
    <t>Methodology and model explanation</t>
  </si>
  <si>
    <t>Y – checked against model equations and assumptions</t>
  </si>
  <si>
    <t>Used to improve consistency between written explanation and implemented model.</t>
  </si>
  <si>
    <t>11/06/2026</t>
  </si>
  <si>
    <t>Asked for a critical review of the full thesis against the thesis manual, including whether the thesis was too long, too repetitive or too extensive in the results, discussion and conclusion.</t>
  </si>
  <si>
    <t>Provided a structured critique, likely weak points, prioritised revision advice and comments on repetition, academic focus and assessment criteria.</t>
  </si>
  <si>
    <t>Adapted; used as a final revision checklist rather than accepting all comments automatically.</t>
  </si>
  <si>
    <t>Whole thesis draft; results, discussion, conclusion and limitations</t>
  </si>
  <si>
    <t>Y – compared recommendations with thesis manual, supervisor feedback and own judgement</t>
  </si>
  <si>
    <t>High score because this affected final thesis-level revision priorities.</t>
  </si>
  <si>
    <t>Asked whether a paragraph on promotion-response uncertainty and the larger VSS belonged in the results section and how to frame it.</t>
  </si>
  <si>
    <t>Suggested how to connect the finding to the result tables while avoiding discussion-style overinterpretation.</t>
  </si>
  <si>
    <t>Adapted; used to decide section placement and revise paragraph structure.</t>
  </si>
  <si>
    <t>Results section; stochastic programming results</t>
  </si>
  <si>
    <t>Y – checked against VSS values and scenario design</t>
  </si>
  <si>
    <t>Used for interpretation structure, not for generating results.</t>
  </si>
  <si>
    <t>Asked whether detailed parameter calculations should remain in the main methodology chapter or be moved to the appendix, and how to present them more clearly using equations.</t>
  </si>
  <si>
    <t>Recommended keeping only essential parameter definitions in the main text and moving calculation details to a cleaner appendix structure.</t>
  </si>
  <si>
    <t>Adapted; used to shorten the methodology and improve appendix presentation.</t>
  </si>
  <si>
    <t>Methodology, parameter table and appendix</t>
  </si>
  <si>
    <t>Y – checked for consistency with all parameter values used in the model</t>
  </si>
  <si>
    <t>Helped with academic structure and concision.</t>
  </si>
  <si>
    <t>12/06/2026</t>
  </si>
  <si>
    <t>Adapted; used to revise citation clustering and strengthen the gap argument.</t>
  </si>
  <si>
    <t>Asked where to include the promotion-response uncertainty extension in the methodology, since it only changes the demand formulation but also increases the scenario structure.</t>
  </si>
  <si>
    <t>Suggested how to present the extension as a small but important adaptation to demand generation and scenario design.</t>
  </si>
  <si>
    <t>Adapted; used to revise the methodology and keep the extension transparent.</t>
  </si>
  <si>
    <t>Methodology; demand formulation; scenario design</t>
  </si>
  <si>
    <t>Y – checked against implemented scenario construction</t>
  </si>
  <si>
    <t>High score because the advice affected model explanation and scenario structure.</t>
  </si>
  <si>
    <t>13/06/2026</t>
  </si>
  <si>
    <t>Asked for help rewriting the conclusion paragraph in LaTeX and then requested specific sentence-level changes while keeping the final sentence.</t>
  </si>
  <si>
    <t>Provided revised academic sentences that reduced repetition and sharpened the conclusion without changing the substantive findings.</t>
  </si>
  <si>
    <t>Adapted; selected sentences were used and checked against the rest of the conclusion.</t>
  </si>
  <si>
    <t>Conclusion chapter</t>
  </si>
  <si>
    <t>Y – proofread in context and checked against results/discussion claims</t>
  </si>
  <si>
    <t>Mainly academic rewriting and sentence-level improvement.</t>
  </si>
  <si>
    <t>09/06/2026–13/06/2026</t>
  </si>
  <si>
    <t>Claude web interface (model/version not always recorded)</t>
  </si>
  <si>
    <t>Asked Claude for additional feedback on the thesis draft, especially academic tone, writing inconsistencies, repeated explanations and whether the results/discussion/conclusion overlap too much.</t>
  </si>
  <si>
    <t>Returned a critical revision checklist with comments on repetition, unclear transitions, overclaiming and places where wording could be made more concise.</t>
  </si>
  <si>
    <t>Adapted selectively; used as a second-opinion checklist alongside ChatGPT and own review.</t>
  </si>
  <si>
    <t>Whole thesis draft; results, discussion, limitations and conclusion</t>
  </si>
  <si>
    <t>Y – checked comments manually against the thesis PDF and did not accept all suggestions</t>
  </si>
  <si>
    <t>High score because the output influenced final revision priorities across the thesis.</t>
  </si>
  <si>
    <t>Asked Claude to identify sentence-level writing inconsistencies, unclear wording and repeated claims in selected thesis sections.</t>
  </si>
  <si>
    <t>Suggested edits for academic tone, concision and smoother transitions.</t>
  </si>
  <si>
    <t>Adapted; used only selected edits after manual checking.</t>
  </si>
  <si>
    <t>Literature review, methodology, discussion and conclusion</t>
  </si>
  <si>
    <t>Mostly editing support, but scaled medium because it affected several thesis sections.</t>
  </si>
  <si>
    <t>Asked Claude for table-formatting suggestions, especially for wide LaTeX tables and appendix presentation.</t>
  </si>
  <si>
    <t>Suggested alternative layouts, shorter headers and ways to move detailed calculations into appendices.</t>
  </si>
  <si>
    <t>Adapted; used to improve table readability and reduce main-text clutter.</t>
  </si>
  <si>
    <t>Results tables, appendix tables and parameter documentation</t>
  </si>
  <si>
    <t>Y – checked table values against original CSV/model outputs and Overleaf rendering</t>
  </si>
  <si>
    <t>Formatting advice only; numerical content was not created by Claude.</t>
  </si>
  <si>
    <t>Gemini web interface (model/version not always recorded)</t>
  </si>
  <si>
    <t>Asked Gemini for an additional independent review of writing inconsistencies, academic standards and whether the argument remained clear across chapters.</t>
  </si>
  <si>
    <t>Provided comments on unclear transitions, repeated explanations and places where the contribution and limitations could be stated more sharply.</t>
  </si>
  <si>
    <t>Adapted selectively; used as a cross-check rather than a source of final wording.</t>
  </si>
  <si>
    <t>Whole thesis draft; research gap, discussion and conclusion</t>
  </si>
  <si>
    <t>Y – compared with own judgement, ChatGPT/Claude feedback and thesis manual</t>
  </si>
  <si>
    <t>High score because it was a substantive thesis-level review.</t>
  </si>
  <si>
    <t>Asked for help cleaning and restructuring the CPLEX code after changing the base model, including clearer variable names, output files and scenario loops.</t>
  </si>
  <si>
    <t>Cleaning model code</t>
  </si>
  <si>
    <t xml:space="preserve">Making the code easier to read and understand, cleaning and structuring the code. </t>
  </si>
  <si>
    <t>Provided suggestions for strengthening the gap argument and avoiding claims that were too broad.</t>
  </si>
  <si>
    <t>Critical feedback of the literature review structure and language.</t>
  </si>
  <si>
    <t>Asked whether there were reference inconsistencies when looking at DOI, year, journal etc.</t>
  </si>
  <si>
    <t>Gave a list of all inconsistencies of the references compared to the bibliography and web sources.</t>
  </si>
  <si>
    <t xml:space="preserve">Introduction, literature review </t>
  </si>
  <si>
    <t>Y – checked the individual sources online</t>
  </si>
  <si>
    <t>Used to fine tune the bibliography and citations.</t>
  </si>
  <si>
    <t>Asked for rewritten paragraphs for the conclusion and contribution sections to make the text more polished and academic.</t>
  </si>
  <si>
    <t>Generated alternative paragraph versions with smoother academic phrasing.</t>
  </si>
  <si>
    <t>Rejected; the proposed rewrites were not incorporated because they changed the balance of the argument or did not preserve the preferred final wording.</t>
  </si>
  <si>
    <t>Conclusion and contribution paragraph</t>
  </si>
  <si>
    <t>Y – compared with own preferred conclusion wording and final thesis argument</t>
  </si>
  <si>
    <t>Logged as rejected output; no direct wording copied.</t>
  </si>
  <si>
    <t>Asked Claude for more aggressive suggestions to shorten repetitive parts of the results, discussion and conclusion.</t>
  </si>
  <si>
    <t>Suggested removing or compressing several passages and merging some interpretations.</t>
  </si>
  <si>
    <t>Results, discussion and conclusion</t>
  </si>
  <si>
    <t>Y – checked against thesis manual, supervisor feedback and the need to keep the model interpretation clear</t>
  </si>
  <si>
    <t>High score because this was substantive thesis-level feedback, even though several suggestions were rejected.</t>
  </si>
  <si>
    <t>Rejected; suggestions were not incorporated because they removed model-specific nuance or made the argument less transparent.</t>
  </si>
  <si>
    <t>Used verbatim for the LaTeX table structure and formatting; all numerical values were checked against the original Excel/model-output files.</t>
  </si>
  <si>
    <t>Asked ChatGPT for language checks, spelling mistakes and any other minor inconsistencies.</t>
  </si>
  <si>
    <t>Gave a list of all of the mistakes in the thesis.</t>
  </si>
  <si>
    <t>Adapted; used the list to find the mistakes, then corrected them</t>
  </si>
  <si>
    <t>Whole thesis</t>
  </si>
  <si>
    <t>Y - checked whether the mistakes were there and adapted where needed</t>
  </si>
  <si>
    <t>Low, purely grammar and spelling corrections</t>
  </si>
  <si>
    <t>ChatGPT (OpenAI), Claude (Anthropic), Gemini (Google)</t>
  </si>
  <si>
    <t>Web interface (model/version not always recorded)</t>
  </si>
  <si>
    <t xml:space="preserve">Asked the three models all for a critical review and feedback on the model. Asked whether there were still any inconsistencies or mistakes. </t>
  </si>
  <si>
    <t>All models gave a list of possible things that could be changed or were inconsistent.</t>
  </si>
  <si>
    <t>Adapted &amp; Rejected. Used some of the feedback to make small changes to the written text, but also rejected a number of the outputs as I felt they were not relevant to the thesis.</t>
  </si>
  <si>
    <t>Y- checked whether the inconsistencies were actually there and changed where needed</t>
  </si>
  <si>
    <t>Medium, asked for a critical review, some structure points were incorporated</t>
  </si>
  <si>
    <t xml:space="preserve">Asked all three models whether there were still any spelling or grammar mistakes left. </t>
  </si>
  <si>
    <t>All models gave a list of grammar and punctuation mistakes.</t>
  </si>
  <si>
    <t>Adapted; the mistakes were corrected in the thesis.</t>
  </si>
  <si>
    <t>Y- checked whether the mistakes were there and adapted where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</si>
</sst>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3" x14ac:knownFonts="1">
    <font>
      <sz val="11"/>
      <color theme="1"/>
      <name val="Calibri"/>
    </font>
    <font>
      <b/>
      <sz val="14"/>
      <color rgb="FFFFFFFF"/>
      <name val="Arial"/>
      <family val="2"/>
    </font>
    <font>
      <i/>
      <sz val="8"/>
      <color rgb="FF1F1F1F"/>
      <name val="Arial"/>
      <family val="2"/>
    </font>
    <font>
      <b/>
      <sz val="9"/>
      <color rgb="FFFFFFFF"/>
      <name val="Arial"/>
      <family val="2"/>
    </font>
    <font>
      <sz val="9"/>
      <color rgb="FF1F1F1F"/>
      <name val="Arial"/>
      <family val="2"/>
    </font>
    <font>
      <b/>
      <sz val="13"/>
      <color rgb="FFFFFFFF"/>
      <name val="Arial"/>
      <family val="2"/>
    </font>
    <font>
      <b/>
      <sz val="10"/>
      <color rgb="FFFFFFFF"/>
      <name val="Arial"/>
      <family val="2"/>
    </font>
    <font>
      <b/>
      <sz val="9"/>
      <color rgb="FF1F1F1F"/>
      <name val="Arial"/>
      <family val="2"/>
    </font>
    <font>
      <b/>
      <sz val="9"/>
      <color rgb="FFC55A11"/>
      <name val="Arial"/>
      <family val="2"/>
    </font>
    <font>
      <b/>
      <sz val="9"/>
      <color rgb="FF1F4E78"/>
      <name val="Arial"/>
      <family val="2"/>
    </font>
    <font>
      <i/>
      <sz val="8"/>
      <color rgb="FF404040"/>
      <name val="Arial"/>
      <family val="2"/>
    </font>
    <font>
      <sz val="10"/>
      <color rgb="FF1F1F1F"/>
      <name val="Arial"/>
      <family val="2"/>
    </font>
    <font>
      <b/>
      <sz val="12"/>
      <color rgb="FF1B3A6B"/>
      <name val="Arial"/>
      <family val="2"/>
    </font>
  </fonts>
  <fills count="10">
    <fill>
      <patternFill patternType="none"/>
    </fill>
    <fill>
      <patternFill patternType="gray125"/>
    </fill>
    <fill>
      <patternFill patternType="solid">
        <fgColor rgb="FF1B3A6B"/>
      </patternFill>
    </fill>
    <fill>
      <patternFill patternType="solid">
        <fgColor rgb="FFD6E4F0"/>
      </patternFill>
    </fill>
    <fill>
      <patternFill patternType="solid">
        <fgColor rgb="FFFFFFFF"/>
      </patternFill>
    </fill>
    <fill>
      <patternFill patternType="solid">
        <fgColor rgb="FFFCE4D6"/>
      </patternFill>
    </fill>
    <fill>
      <patternFill patternType="solid">
        <fgColor rgb="FF1F4E78"/>
      </patternFill>
    </fill>
    <fill>
      <patternFill patternType="solid">
        <fgColor rgb="FFD9EAF7"/>
      </patternFill>
    </fill>
    <fill>
      <patternFill patternType="solid">
        <fgColor rgb="FFF2F2F2"/>
      </patternFill>
    </fill>
    <fill>
      <patternFill patternType="solid">
        <fgColor rgb="FF5B9BD5"/>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0">
    <xf numFmtId="0" fontId="0" fillId="0" borderId="0" xfId="0"/>
    <xf numFmtId="0" fontId="7"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7"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3" fillId="9" borderId="1" xfId="0" applyFont="1" applyFill="1" applyBorder="1" applyAlignment="1">
      <alignment horizontal="center" vertical="center" wrapText="1"/>
    </xf>
    <xf numFmtId="0" fontId="0" fillId="0" borderId="0" xfId="0" applyAlignment="1">
      <alignment wrapText="1"/>
    </xf>
    <xf numFmtId="0" fontId="11" fillId="3" borderId="1" xfId="0" applyFont="1" applyFill="1" applyBorder="1" applyAlignment="1">
      <alignment horizontal="center" vertical="top" wrapText="1"/>
    </xf>
    <xf numFmtId="0" fontId="11" fillId="3" borderId="1" xfId="0" applyFont="1" applyFill="1" applyBorder="1" applyAlignment="1">
      <alignment horizontal="left" vertical="top" wrapText="1"/>
    </xf>
    <xf numFmtId="0" fontId="11" fillId="4" borderId="1" xfId="0" applyFont="1" applyFill="1" applyBorder="1" applyAlignment="1">
      <alignment horizontal="center" vertical="top" wrapText="1"/>
    </xf>
    <xf numFmtId="0" fontId="11" fillId="4" borderId="1" xfId="0" applyFont="1" applyFill="1" applyBorder="1" applyAlignment="1">
      <alignment horizontal="left" vertical="top" wrapText="1"/>
    </xf>
    <xf numFmtId="164" fontId="11" fillId="3" borderId="1" xfId="0" applyNumberFormat="1" applyFont="1" applyFill="1" applyBorder="1" applyAlignment="1">
      <alignment horizontal="center" vertical="top" wrapText="1"/>
    </xf>
    <xf numFmtId="164" fontId="11" fillId="4" borderId="1" xfId="0" applyNumberFormat="1" applyFont="1" applyFill="1" applyBorder="1" applyAlignment="1">
      <alignment horizontal="center" vertical="top" wrapText="1"/>
    </xf>
    <xf numFmtId="1" fontId="11" fillId="3" borderId="1" xfId="0" applyNumberFormat="1" applyFont="1" applyFill="1" applyBorder="1" applyAlignment="1">
      <alignment horizontal="center" vertical="top" wrapText="1"/>
    </xf>
    <xf numFmtId="1" fontId="11" fillId="4" borderId="1" xfId="0" applyNumberFormat="1" applyFont="1" applyFill="1" applyBorder="1" applyAlignment="1">
      <alignment horizontal="center" vertical="top" wrapText="1"/>
    </xf>
    <xf numFmtId="0" fontId="1" fillId="6" borderId="0" xfId="0" applyFont="1" applyFill="1" applyAlignment="1">
      <alignment horizontal="left" vertical="center" wrapText="1"/>
    </xf>
    <xf numFmtId="0" fontId="9" fillId="7" borderId="0" xfId="0" applyFont="1" applyFill="1" applyAlignment="1">
      <alignment horizontal="center" vertical="center" wrapText="1"/>
    </xf>
    <xf numFmtId="0" fontId="10" fillId="8" borderId="0" xfId="0" applyFont="1" applyFill="1" applyAlignment="1">
      <alignment horizontal="left" vertical="center" wrapText="1"/>
    </xf>
    <xf numFmtId="0" fontId="5" fillId="2" borderId="0" xfId="0" applyFont="1" applyFill="1" applyAlignment="1">
      <alignment horizontal="center" vertical="center" wrapText="1"/>
    </xf>
    <xf numFmtId="0" fontId="1" fillId="6" borderId="0" xfId="0" applyFont="1" applyFill="1" applyAlignment="1">
      <alignment horizontal="center" vertical="center" wrapText="1"/>
    </xf>
    <xf numFmtId="0" fontId="2" fillId="8" borderId="0" xfId="0" applyFont="1" applyFill="1" applyAlignment="1">
      <alignment horizontal="center" vertical="center" wrapText="1"/>
    </xf>
    <xf numFmtId="0" fontId="3" fillId="9"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6" fillId="9" borderId="0" xfId="0" applyFont="1" applyFill="1" applyAlignment="1">
      <alignment horizontal="center" vertical="center" wrapText="1"/>
    </xf>
    <xf numFmtId="0" fontId="4"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left" vertical="center" wrapText="1"/>
    </xf>
  </cellXfs>
  <cellStyles count="1">
    <cellStyle name="Normal" xfId="0" builtinId="0"/>
  </cellStyles>
  <dxfs count="2">
    <dxf>
      <fill>
        <patternFill>
          <bgColor rgb="FFFFF2CC"/>
        </patternFill>
      </fill>
    </dxf>
    <dxf>
      <fill>
        <patternFill>
          <bgColor rgb="FFFCE4D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E75B6"/>
      <rgbColor rgb="FF33CCCC"/>
      <rgbColor rgb="FF99CC00"/>
      <rgbColor rgb="FFFFCC00"/>
      <rgbColor rgb="FFFF9900"/>
      <rgbColor rgb="FFC55A11"/>
      <rgbColor rgb="FF666699"/>
      <rgbColor rgb="FF70AD47"/>
      <rgbColor rgb="FF1B3A6B"/>
      <rgbColor rgb="FF339966"/>
      <rgbColor rgb="FF003300"/>
      <rgbColor rgb="FF333300"/>
      <rgbColor rgb="FF993300"/>
      <rgbColor rgb="FF993366"/>
      <rgbColor rgb="FF333399"/>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AD47"/>
  </sheetPr>
  <dimension ref="A1:B12"/>
  <sheetViews>
    <sheetView showGridLines="0" tabSelected="1" workbookViewId="0">
      <selection activeCell="B8" sqref="B8"/>
    </sheetView>
  </sheetViews>
  <sheetFormatPr defaultColWidth="8.7265625" defaultRowHeight="14.5" x14ac:dyDescent="0.35"/>
  <cols>
    <col min="1" max="1" width="22" customWidth="1"/>
    <col min="2" max="2" width="70" customWidth="1"/>
  </cols>
  <sheetData>
    <row r="1" spans="1:2" ht="30" customHeight="1" x14ac:dyDescent="0.35">
      <c r="A1" s="21" t="s">
        <v>0</v>
      </c>
      <c r="B1" s="21"/>
    </row>
    <row r="2" spans="1:2" ht="51.75" customHeight="1" x14ac:dyDescent="0.35">
      <c r="A2" s="4" t="s">
        <v>1</v>
      </c>
      <c r="B2" s="5" t="s">
        <v>2</v>
      </c>
    </row>
    <row r="3" spans="1:2" ht="51.75" customHeight="1" x14ac:dyDescent="0.35">
      <c r="A3" s="6" t="s">
        <v>3</v>
      </c>
      <c r="B3" s="7" t="s">
        <v>4</v>
      </c>
    </row>
    <row r="4" spans="1:2" ht="51.75" customHeight="1" x14ac:dyDescent="0.35">
      <c r="A4" s="4" t="s">
        <v>5</v>
      </c>
      <c r="B4" s="5" t="s">
        <v>6</v>
      </c>
    </row>
    <row r="5" spans="1:2" ht="51.75" customHeight="1" x14ac:dyDescent="0.35">
      <c r="A5" s="6" t="s">
        <v>7</v>
      </c>
      <c r="B5" s="7" t="s">
        <v>8</v>
      </c>
    </row>
    <row r="6" spans="1:2" ht="51.75" customHeight="1" x14ac:dyDescent="0.35">
      <c r="A6" s="4" t="s">
        <v>9</v>
      </c>
      <c r="B6" s="5" t="s">
        <v>10</v>
      </c>
    </row>
    <row r="7" spans="1:2" ht="51.75" customHeight="1" x14ac:dyDescent="0.35">
      <c r="A7" s="6" t="s">
        <v>11</v>
      </c>
      <c r="B7" s="7" t="s">
        <v>12</v>
      </c>
    </row>
    <row r="8" spans="1:2" ht="51.75" customHeight="1" x14ac:dyDescent="0.35">
      <c r="A8" s="4" t="s">
        <v>13</v>
      </c>
      <c r="B8" s="5" t="s">
        <v>14</v>
      </c>
    </row>
    <row r="9" spans="1:2" ht="51.75" customHeight="1" x14ac:dyDescent="0.35">
      <c r="A9" s="6" t="s">
        <v>15</v>
      </c>
      <c r="B9" s="7" t="s">
        <v>16</v>
      </c>
    </row>
    <row r="10" spans="1:2" ht="51.75" customHeight="1" x14ac:dyDescent="0.35">
      <c r="A10" s="4" t="s">
        <v>17</v>
      </c>
      <c r="B10" s="5" t="s">
        <v>18</v>
      </c>
    </row>
    <row r="11" spans="1:2" ht="51.75" customHeight="1" x14ac:dyDescent="0.35">
      <c r="A11" s="6" t="s">
        <v>19</v>
      </c>
      <c r="B11" s="7" t="s">
        <v>20</v>
      </c>
    </row>
    <row r="12" spans="1:2" ht="51.75" customHeight="1" x14ac:dyDescent="0.35">
      <c r="A12" s="4" t="s">
        <v>273</v>
      </c>
      <c r="B12" s="5" t="s">
        <v>21</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3A6B"/>
  </sheetPr>
  <dimension ref="A1:N61"/>
  <sheetViews>
    <sheetView showGridLines="0" topLeftCell="G56" workbookViewId="0">
      <selection activeCell="J63" sqref="J63"/>
    </sheetView>
  </sheetViews>
  <sheetFormatPr defaultColWidth="8.7265625" defaultRowHeight="14.5" x14ac:dyDescent="0.35"/>
  <cols>
    <col min="1" max="1" width="5" customWidth="1"/>
    <col min="2" max="2" width="16" customWidth="1"/>
    <col min="3" max="3" width="25" customWidth="1"/>
    <col min="4" max="4" width="20" customWidth="1"/>
    <col min="5" max="5" width="28" customWidth="1"/>
    <col min="6" max="6" width="24" customWidth="1"/>
    <col min="7" max="8" width="42" customWidth="1"/>
    <col min="9" max="9" width="38" customWidth="1"/>
    <col min="10" max="10" width="32" customWidth="1"/>
    <col min="11" max="11" width="34" customWidth="1"/>
    <col min="12" max="12" width="12" customWidth="1"/>
    <col min="13" max="13" width="22" customWidth="1"/>
    <col min="14" max="14" width="34" customWidth="1"/>
  </cols>
  <sheetData>
    <row r="1" spans="1:14" ht="24" customHeight="1" x14ac:dyDescent="0.35">
      <c r="A1" s="18" t="s">
        <v>22</v>
      </c>
      <c r="B1" s="18"/>
      <c r="C1" s="18"/>
      <c r="D1" s="18"/>
      <c r="E1" s="18"/>
      <c r="F1" s="18"/>
      <c r="G1" s="18"/>
      <c r="H1" s="18"/>
      <c r="I1" s="18"/>
      <c r="J1" s="18"/>
      <c r="K1" s="18"/>
      <c r="L1" s="18"/>
      <c r="M1" s="18"/>
      <c r="N1" s="18"/>
    </row>
    <row r="2" spans="1:14" ht="20" customHeight="1" x14ac:dyDescent="0.35">
      <c r="A2" s="19" t="s">
        <v>23</v>
      </c>
      <c r="B2" s="19"/>
      <c r="C2" s="19"/>
      <c r="D2" s="19"/>
      <c r="E2" s="19"/>
      <c r="F2" s="19"/>
      <c r="G2" s="19"/>
      <c r="H2" s="19"/>
      <c r="I2" s="19"/>
      <c r="J2" s="19"/>
      <c r="K2" s="19"/>
      <c r="L2" s="19"/>
      <c r="M2" s="19"/>
      <c r="N2" s="19"/>
    </row>
    <row r="3" spans="1:14" ht="35" customHeight="1" x14ac:dyDescent="0.35">
      <c r="A3" s="20" t="s">
        <v>24</v>
      </c>
      <c r="B3" s="20"/>
      <c r="C3" s="20"/>
      <c r="D3" s="20"/>
      <c r="E3" s="20"/>
      <c r="F3" s="20"/>
      <c r="G3" s="20"/>
      <c r="H3" s="20"/>
      <c r="I3" s="20"/>
      <c r="J3" s="20"/>
      <c r="K3" s="20"/>
      <c r="L3" s="20"/>
      <c r="M3" s="20"/>
      <c r="N3" s="20"/>
    </row>
    <row r="4" spans="1:14" ht="48" customHeight="1" x14ac:dyDescent="0.35">
      <c r="A4" s="8" t="s">
        <v>25</v>
      </c>
      <c r="B4" s="8" t="s">
        <v>26</v>
      </c>
      <c r="C4" s="8" t="s">
        <v>27</v>
      </c>
      <c r="D4" s="8" t="s">
        <v>28</v>
      </c>
      <c r="E4" s="8" t="s">
        <v>29</v>
      </c>
      <c r="F4" s="8" t="s">
        <v>30</v>
      </c>
      <c r="G4" s="8" t="s">
        <v>31</v>
      </c>
      <c r="H4" s="8" t="s">
        <v>32</v>
      </c>
      <c r="I4" s="8" t="s">
        <v>33</v>
      </c>
      <c r="J4" s="8" t="s">
        <v>34</v>
      </c>
      <c r="K4" s="8" t="s">
        <v>35</v>
      </c>
      <c r="L4" s="8" t="s">
        <v>36</v>
      </c>
      <c r="M4" s="8" t="s">
        <v>37</v>
      </c>
      <c r="N4" s="8" t="s">
        <v>38</v>
      </c>
    </row>
    <row r="5" spans="1:14" ht="78" customHeight="1" x14ac:dyDescent="0.35">
      <c r="A5" s="10">
        <f t="shared" ref="A5:A34" si="0">ROW()-4</f>
        <v>1</v>
      </c>
      <c r="B5" s="14">
        <v>46051</v>
      </c>
      <c r="C5" s="11" t="s">
        <v>39</v>
      </c>
      <c r="D5" s="11" t="s">
        <v>40</v>
      </c>
      <c r="E5" s="11" t="s">
        <v>41</v>
      </c>
      <c r="F5" s="11" t="s">
        <v>42</v>
      </c>
      <c r="G5" s="11" t="s">
        <v>43</v>
      </c>
      <c r="H5" s="11" t="s">
        <v>44</v>
      </c>
      <c r="I5" s="11" t="s">
        <v>45</v>
      </c>
      <c r="J5" s="11" t="s">
        <v>46</v>
      </c>
      <c r="K5" s="11" t="s">
        <v>47</v>
      </c>
      <c r="L5" s="16">
        <v>25</v>
      </c>
      <c r="M5" s="11" t="s">
        <v>48</v>
      </c>
      <c r="N5" s="11" t="s">
        <v>49</v>
      </c>
    </row>
    <row r="6" spans="1:14" ht="78" customHeight="1" x14ac:dyDescent="0.35">
      <c r="A6" s="12">
        <f t="shared" si="0"/>
        <v>2</v>
      </c>
      <c r="B6" s="15">
        <v>46056</v>
      </c>
      <c r="C6" s="13" t="s">
        <v>39</v>
      </c>
      <c r="D6" s="13" t="s">
        <v>40</v>
      </c>
      <c r="E6" s="13" t="s">
        <v>41</v>
      </c>
      <c r="F6" s="13" t="s">
        <v>50</v>
      </c>
      <c r="G6" s="13" t="s">
        <v>51</v>
      </c>
      <c r="H6" s="13" t="s">
        <v>52</v>
      </c>
      <c r="I6" s="13" t="s">
        <v>53</v>
      </c>
      <c r="J6" s="13" t="s">
        <v>54</v>
      </c>
      <c r="K6" s="13" t="s">
        <v>55</v>
      </c>
      <c r="L6" s="17">
        <v>30</v>
      </c>
      <c r="M6" s="13" t="s">
        <v>48</v>
      </c>
      <c r="N6" s="13" t="s">
        <v>56</v>
      </c>
    </row>
    <row r="7" spans="1:14" ht="78" customHeight="1" x14ac:dyDescent="0.35">
      <c r="A7" s="10">
        <f t="shared" si="0"/>
        <v>3</v>
      </c>
      <c r="B7" s="14">
        <v>46062</v>
      </c>
      <c r="C7" s="11" t="s">
        <v>39</v>
      </c>
      <c r="D7" s="11" t="s">
        <v>40</v>
      </c>
      <c r="E7" s="11" t="s">
        <v>41</v>
      </c>
      <c r="F7" s="11" t="s">
        <v>57</v>
      </c>
      <c r="G7" s="11" t="s">
        <v>58</v>
      </c>
      <c r="H7" s="11" t="s">
        <v>59</v>
      </c>
      <c r="I7" s="11" t="s">
        <v>60</v>
      </c>
      <c r="J7" s="11" t="s">
        <v>61</v>
      </c>
      <c r="K7" s="11" t="s">
        <v>62</v>
      </c>
      <c r="L7" s="16">
        <v>20</v>
      </c>
      <c r="M7" s="11" t="s">
        <v>48</v>
      </c>
      <c r="N7" s="11" t="s">
        <v>63</v>
      </c>
    </row>
    <row r="8" spans="1:14" ht="78" customHeight="1" x14ac:dyDescent="0.35">
      <c r="A8" s="12">
        <f t="shared" si="0"/>
        <v>4</v>
      </c>
      <c r="B8" s="15">
        <v>46068</v>
      </c>
      <c r="C8" s="13" t="s">
        <v>39</v>
      </c>
      <c r="D8" s="13" t="s">
        <v>40</v>
      </c>
      <c r="E8" s="13" t="s">
        <v>41</v>
      </c>
      <c r="F8" s="13" t="s">
        <v>42</v>
      </c>
      <c r="G8" s="13" t="s">
        <v>64</v>
      </c>
      <c r="H8" s="13" t="s">
        <v>65</v>
      </c>
      <c r="I8" s="13" t="s">
        <v>66</v>
      </c>
      <c r="J8" s="13" t="s">
        <v>67</v>
      </c>
      <c r="K8" s="13" t="s">
        <v>68</v>
      </c>
      <c r="L8" s="17">
        <v>20</v>
      </c>
      <c r="M8" s="13" t="s">
        <v>48</v>
      </c>
      <c r="N8" s="13" t="s">
        <v>69</v>
      </c>
    </row>
    <row r="9" spans="1:14" ht="78" customHeight="1" x14ac:dyDescent="0.35">
      <c r="A9" s="10">
        <f t="shared" si="0"/>
        <v>5</v>
      </c>
      <c r="B9" s="14">
        <v>46075</v>
      </c>
      <c r="C9" s="11" t="s">
        <v>70</v>
      </c>
      <c r="D9" s="11" t="s">
        <v>40</v>
      </c>
      <c r="E9" s="11" t="s">
        <v>41</v>
      </c>
      <c r="F9" s="11" t="s">
        <v>71</v>
      </c>
      <c r="G9" s="11" t="s">
        <v>72</v>
      </c>
      <c r="H9" s="11" t="s">
        <v>73</v>
      </c>
      <c r="I9" s="11" t="s">
        <v>74</v>
      </c>
      <c r="J9" s="11" t="s">
        <v>75</v>
      </c>
      <c r="K9" s="11" t="s">
        <v>76</v>
      </c>
      <c r="L9" s="16">
        <v>25</v>
      </c>
      <c r="M9" s="11" t="s">
        <v>48</v>
      </c>
      <c r="N9" s="11" t="s">
        <v>77</v>
      </c>
    </row>
    <row r="10" spans="1:14" ht="78" customHeight="1" x14ac:dyDescent="0.35">
      <c r="A10" s="12">
        <f t="shared" si="0"/>
        <v>6</v>
      </c>
      <c r="B10" s="15">
        <v>46080</v>
      </c>
      <c r="C10" s="13" t="s">
        <v>70</v>
      </c>
      <c r="D10" s="13" t="s">
        <v>40</v>
      </c>
      <c r="E10" s="13" t="s">
        <v>41</v>
      </c>
      <c r="F10" s="13" t="s">
        <v>78</v>
      </c>
      <c r="G10" s="13" t="s">
        <v>79</v>
      </c>
      <c r="H10" s="13" t="s">
        <v>80</v>
      </c>
      <c r="I10" s="13" t="s">
        <v>81</v>
      </c>
      <c r="J10" s="13" t="s">
        <v>82</v>
      </c>
      <c r="K10" s="13" t="s">
        <v>83</v>
      </c>
      <c r="L10" s="17">
        <v>30</v>
      </c>
      <c r="M10" s="13" t="s">
        <v>48</v>
      </c>
      <c r="N10" s="13" t="s">
        <v>84</v>
      </c>
    </row>
    <row r="11" spans="1:14" ht="78" customHeight="1" x14ac:dyDescent="0.35">
      <c r="A11" s="10">
        <f t="shared" si="0"/>
        <v>7</v>
      </c>
      <c r="B11" s="14">
        <v>46085</v>
      </c>
      <c r="C11" s="11" t="s">
        <v>70</v>
      </c>
      <c r="D11" s="11" t="s">
        <v>40</v>
      </c>
      <c r="E11" s="11" t="s">
        <v>41</v>
      </c>
      <c r="F11" s="11" t="s">
        <v>85</v>
      </c>
      <c r="G11" s="11" t="s">
        <v>86</v>
      </c>
      <c r="H11" s="11" t="s">
        <v>87</v>
      </c>
      <c r="I11" s="11" t="s">
        <v>88</v>
      </c>
      <c r="J11" s="11" t="s">
        <v>89</v>
      </c>
      <c r="K11" s="11" t="s">
        <v>90</v>
      </c>
      <c r="L11" s="16">
        <v>35</v>
      </c>
      <c r="M11" s="11" t="s">
        <v>48</v>
      </c>
      <c r="N11" s="11" t="s">
        <v>91</v>
      </c>
    </row>
    <row r="12" spans="1:14" ht="78" customHeight="1" x14ac:dyDescent="0.35">
      <c r="A12" s="12">
        <v>8</v>
      </c>
      <c r="B12" s="15">
        <v>46088</v>
      </c>
      <c r="C12" s="13" t="s">
        <v>92</v>
      </c>
      <c r="D12" s="13" t="s">
        <v>40</v>
      </c>
      <c r="E12" s="13" t="s">
        <v>41</v>
      </c>
      <c r="F12" s="13" t="s">
        <v>57</v>
      </c>
      <c r="G12" s="13" t="s">
        <v>93</v>
      </c>
      <c r="H12" s="13" t="s">
        <v>94</v>
      </c>
      <c r="I12" s="13" t="s">
        <v>95</v>
      </c>
      <c r="J12" s="13" t="s">
        <v>96</v>
      </c>
      <c r="K12" s="13" t="s">
        <v>97</v>
      </c>
      <c r="L12" s="17">
        <v>45</v>
      </c>
      <c r="M12" s="13" t="s">
        <v>48</v>
      </c>
      <c r="N12" s="13" t="s">
        <v>98</v>
      </c>
    </row>
    <row r="13" spans="1:14" ht="78" customHeight="1" x14ac:dyDescent="0.35">
      <c r="A13" s="10">
        <f t="shared" si="0"/>
        <v>9</v>
      </c>
      <c r="B13" s="14" t="s">
        <v>99</v>
      </c>
      <c r="C13" s="11" t="s">
        <v>70</v>
      </c>
      <c r="D13" s="11" t="s">
        <v>40</v>
      </c>
      <c r="E13" s="11" t="s">
        <v>41</v>
      </c>
      <c r="F13" s="11" t="s">
        <v>100</v>
      </c>
      <c r="G13" s="11" t="s">
        <v>101</v>
      </c>
      <c r="H13" s="11" t="s">
        <v>102</v>
      </c>
      <c r="I13" s="11" t="s">
        <v>103</v>
      </c>
      <c r="J13" s="11" t="s">
        <v>104</v>
      </c>
      <c r="K13" s="11" t="s">
        <v>105</v>
      </c>
      <c r="L13" s="16">
        <v>120</v>
      </c>
      <c r="M13" s="11" t="s">
        <v>106</v>
      </c>
      <c r="N13" s="11" t="s">
        <v>107</v>
      </c>
    </row>
    <row r="14" spans="1:14" ht="78" customHeight="1" x14ac:dyDescent="0.35">
      <c r="A14" s="12">
        <f t="shared" si="0"/>
        <v>10</v>
      </c>
      <c r="B14" s="15">
        <v>46097</v>
      </c>
      <c r="C14" s="13" t="s">
        <v>70</v>
      </c>
      <c r="D14" s="13" t="s">
        <v>40</v>
      </c>
      <c r="E14" s="13" t="s">
        <v>41</v>
      </c>
      <c r="F14" s="13" t="s">
        <v>57</v>
      </c>
      <c r="G14" s="13" t="s">
        <v>108</v>
      </c>
      <c r="H14" s="13" t="s">
        <v>109</v>
      </c>
      <c r="I14" s="13" t="s">
        <v>110</v>
      </c>
      <c r="J14" s="13" t="s">
        <v>111</v>
      </c>
      <c r="K14" s="13" t="s">
        <v>112</v>
      </c>
      <c r="L14" s="17">
        <v>20</v>
      </c>
      <c r="M14" s="13" t="s">
        <v>113</v>
      </c>
      <c r="N14" s="13" t="s">
        <v>114</v>
      </c>
    </row>
    <row r="15" spans="1:14" ht="78" customHeight="1" x14ac:dyDescent="0.35">
      <c r="A15" s="10">
        <f t="shared" si="0"/>
        <v>11</v>
      </c>
      <c r="B15" s="14">
        <v>46103</v>
      </c>
      <c r="C15" s="11" t="s">
        <v>70</v>
      </c>
      <c r="D15" s="11" t="s">
        <v>40</v>
      </c>
      <c r="E15" s="11" t="s">
        <v>41</v>
      </c>
      <c r="F15" s="11" t="s">
        <v>85</v>
      </c>
      <c r="G15" s="11" t="s">
        <v>115</v>
      </c>
      <c r="H15" s="11" t="s">
        <v>116</v>
      </c>
      <c r="I15" s="11" t="s">
        <v>117</v>
      </c>
      <c r="J15" s="11" t="s">
        <v>118</v>
      </c>
      <c r="K15" s="11" t="s">
        <v>119</v>
      </c>
      <c r="L15" s="16">
        <v>30</v>
      </c>
      <c r="M15" s="11" t="s">
        <v>48</v>
      </c>
      <c r="N15" s="11" t="s">
        <v>120</v>
      </c>
    </row>
    <row r="16" spans="1:14" ht="78" customHeight="1" x14ac:dyDescent="0.35">
      <c r="A16" s="12">
        <f t="shared" si="0"/>
        <v>12</v>
      </c>
      <c r="B16" s="15">
        <v>46109</v>
      </c>
      <c r="C16" s="13" t="s">
        <v>70</v>
      </c>
      <c r="D16" s="13" t="s">
        <v>40</v>
      </c>
      <c r="E16" s="13" t="s">
        <v>41</v>
      </c>
      <c r="F16" s="13" t="s">
        <v>42</v>
      </c>
      <c r="G16" s="13" t="s">
        <v>121</v>
      </c>
      <c r="H16" s="13" t="s">
        <v>122</v>
      </c>
      <c r="I16" s="13" t="s">
        <v>123</v>
      </c>
      <c r="J16" s="13" t="s">
        <v>124</v>
      </c>
      <c r="K16" s="13" t="s">
        <v>125</v>
      </c>
      <c r="L16" s="17">
        <v>25</v>
      </c>
      <c r="M16" s="13" t="s">
        <v>48</v>
      </c>
      <c r="N16" s="13" t="s">
        <v>126</v>
      </c>
    </row>
    <row r="17" spans="1:14" ht="78" customHeight="1" x14ac:dyDescent="0.35">
      <c r="A17" s="10">
        <f t="shared" si="0"/>
        <v>13</v>
      </c>
      <c r="B17" s="14">
        <v>46114</v>
      </c>
      <c r="C17" s="11" t="s">
        <v>70</v>
      </c>
      <c r="D17" s="11" t="s">
        <v>40</v>
      </c>
      <c r="E17" s="11" t="s">
        <v>41</v>
      </c>
      <c r="F17" s="11" t="s">
        <v>71</v>
      </c>
      <c r="G17" s="11" t="s">
        <v>127</v>
      </c>
      <c r="H17" s="11" t="s">
        <v>128</v>
      </c>
      <c r="I17" s="11" t="s">
        <v>129</v>
      </c>
      <c r="J17" s="11" t="s">
        <v>130</v>
      </c>
      <c r="K17" s="11" t="s">
        <v>131</v>
      </c>
      <c r="L17" s="16">
        <v>25</v>
      </c>
      <c r="M17" s="11" t="s">
        <v>48</v>
      </c>
      <c r="N17" s="11" t="s">
        <v>132</v>
      </c>
    </row>
    <row r="18" spans="1:14" ht="78" customHeight="1" x14ac:dyDescent="0.35">
      <c r="A18" s="12">
        <f t="shared" si="0"/>
        <v>14</v>
      </c>
      <c r="B18" s="15">
        <v>46119</v>
      </c>
      <c r="C18" s="13" t="s">
        <v>70</v>
      </c>
      <c r="D18" s="13" t="s">
        <v>40</v>
      </c>
      <c r="E18" s="13" t="s">
        <v>41</v>
      </c>
      <c r="F18" s="13" t="s">
        <v>78</v>
      </c>
      <c r="G18" s="13" t="s">
        <v>133</v>
      </c>
      <c r="H18" s="13" t="s">
        <v>134</v>
      </c>
      <c r="I18" s="13" t="s">
        <v>135</v>
      </c>
      <c r="J18" s="13" t="s">
        <v>136</v>
      </c>
      <c r="K18" s="13" t="s">
        <v>137</v>
      </c>
      <c r="L18" s="17">
        <v>30</v>
      </c>
      <c r="M18" s="13" t="s">
        <v>113</v>
      </c>
      <c r="N18" s="13" t="s">
        <v>138</v>
      </c>
    </row>
    <row r="19" spans="1:14" ht="78" customHeight="1" x14ac:dyDescent="0.35">
      <c r="A19" s="10">
        <f t="shared" si="0"/>
        <v>15</v>
      </c>
      <c r="B19" s="14">
        <v>46125</v>
      </c>
      <c r="C19" s="11" t="s">
        <v>139</v>
      </c>
      <c r="D19" s="11" t="s">
        <v>40</v>
      </c>
      <c r="E19" s="11" t="s">
        <v>41</v>
      </c>
      <c r="F19" s="11" t="s">
        <v>71</v>
      </c>
      <c r="G19" s="11" t="s">
        <v>140</v>
      </c>
      <c r="H19" s="11" t="s">
        <v>141</v>
      </c>
      <c r="I19" s="11" t="s">
        <v>142</v>
      </c>
      <c r="J19" s="11" t="s">
        <v>143</v>
      </c>
      <c r="K19" s="11" t="s">
        <v>144</v>
      </c>
      <c r="L19" s="16">
        <v>25</v>
      </c>
      <c r="M19" s="11" t="s">
        <v>48</v>
      </c>
      <c r="N19" s="11" t="s">
        <v>145</v>
      </c>
    </row>
    <row r="20" spans="1:14" ht="78" customHeight="1" x14ac:dyDescent="0.35">
      <c r="A20" s="12">
        <f t="shared" si="0"/>
        <v>16</v>
      </c>
      <c r="B20" s="15">
        <v>46130</v>
      </c>
      <c r="C20" s="13" t="s">
        <v>139</v>
      </c>
      <c r="D20" s="13" t="s">
        <v>40</v>
      </c>
      <c r="E20" s="13" t="s">
        <v>41</v>
      </c>
      <c r="F20" s="13" t="s">
        <v>100</v>
      </c>
      <c r="G20" s="13" t="s">
        <v>146</v>
      </c>
      <c r="H20" s="13" t="s">
        <v>147</v>
      </c>
      <c r="I20" s="13" t="s">
        <v>148</v>
      </c>
      <c r="J20" s="13" t="s">
        <v>149</v>
      </c>
      <c r="K20" s="13" t="s">
        <v>150</v>
      </c>
      <c r="L20" s="17">
        <v>50</v>
      </c>
      <c r="M20" s="13" t="s">
        <v>48</v>
      </c>
      <c r="N20" s="13" t="s">
        <v>151</v>
      </c>
    </row>
    <row r="21" spans="1:14" ht="78" customHeight="1" x14ac:dyDescent="0.35">
      <c r="A21" s="10">
        <f t="shared" si="0"/>
        <v>17</v>
      </c>
      <c r="B21" s="14">
        <v>46135</v>
      </c>
      <c r="C21" s="11" t="s">
        <v>139</v>
      </c>
      <c r="D21" s="11" t="s">
        <v>40</v>
      </c>
      <c r="E21" s="11" t="s">
        <v>41</v>
      </c>
      <c r="F21" s="11" t="s">
        <v>152</v>
      </c>
      <c r="G21" s="11" t="s">
        <v>153</v>
      </c>
      <c r="H21" s="11" t="s">
        <v>154</v>
      </c>
      <c r="I21" s="11" t="s">
        <v>155</v>
      </c>
      <c r="J21" s="11" t="s">
        <v>156</v>
      </c>
      <c r="K21" s="11" t="s">
        <v>157</v>
      </c>
      <c r="L21" s="16">
        <v>25</v>
      </c>
      <c r="M21" s="11" t="s">
        <v>48</v>
      </c>
      <c r="N21" s="11" t="s">
        <v>158</v>
      </c>
    </row>
    <row r="22" spans="1:14" ht="78" customHeight="1" x14ac:dyDescent="0.35">
      <c r="A22" s="12">
        <f t="shared" si="0"/>
        <v>18</v>
      </c>
      <c r="B22" s="15">
        <v>46140</v>
      </c>
      <c r="C22" s="13" t="s">
        <v>139</v>
      </c>
      <c r="D22" s="13" t="s">
        <v>40</v>
      </c>
      <c r="E22" s="13" t="s">
        <v>41</v>
      </c>
      <c r="F22" s="13" t="s">
        <v>152</v>
      </c>
      <c r="G22" s="13" t="s">
        <v>159</v>
      </c>
      <c r="H22" s="13" t="s">
        <v>160</v>
      </c>
      <c r="I22" s="13" t="s">
        <v>142</v>
      </c>
      <c r="J22" s="13" t="s">
        <v>161</v>
      </c>
      <c r="K22" s="13" t="s">
        <v>162</v>
      </c>
      <c r="L22" s="17">
        <v>25</v>
      </c>
      <c r="M22" s="13" t="s">
        <v>48</v>
      </c>
      <c r="N22" s="13" t="s">
        <v>163</v>
      </c>
    </row>
    <row r="23" spans="1:14" ht="78" customHeight="1" x14ac:dyDescent="0.35">
      <c r="A23" s="10">
        <f t="shared" si="0"/>
        <v>19</v>
      </c>
      <c r="B23" s="14">
        <v>46144</v>
      </c>
      <c r="C23" s="11" t="s">
        <v>139</v>
      </c>
      <c r="D23" s="11" t="s">
        <v>40</v>
      </c>
      <c r="E23" s="11" t="s">
        <v>41</v>
      </c>
      <c r="F23" s="11" t="s">
        <v>152</v>
      </c>
      <c r="G23" s="11" t="s">
        <v>164</v>
      </c>
      <c r="H23" s="11" t="s">
        <v>165</v>
      </c>
      <c r="I23" s="11" t="s">
        <v>166</v>
      </c>
      <c r="J23" s="11" t="s">
        <v>167</v>
      </c>
      <c r="K23" s="11" t="s">
        <v>168</v>
      </c>
      <c r="L23" s="16">
        <v>30</v>
      </c>
      <c r="M23" s="11" t="s">
        <v>48</v>
      </c>
      <c r="N23" s="11" t="s">
        <v>169</v>
      </c>
    </row>
    <row r="24" spans="1:14" ht="78" customHeight="1" x14ac:dyDescent="0.35">
      <c r="A24" s="12">
        <f t="shared" si="0"/>
        <v>20</v>
      </c>
      <c r="B24" s="15">
        <v>46148</v>
      </c>
      <c r="C24" s="13" t="s">
        <v>139</v>
      </c>
      <c r="D24" s="13" t="s">
        <v>40</v>
      </c>
      <c r="E24" s="13" t="s">
        <v>41</v>
      </c>
      <c r="F24" s="13" t="s">
        <v>152</v>
      </c>
      <c r="G24" s="13" t="s">
        <v>170</v>
      </c>
      <c r="H24" s="13" t="s">
        <v>171</v>
      </c>
      <c r="I24" s="13" t="s">
        <v>172</v>
      </c>
      <c r="J24" s="13" t="s">
        <v>173</v>
      </c>
      <c r="K24" s="13" t="s">
        <v>174</v>
      </c>
      <c r="L24" s="17">
        <v>20</v>
      </c>
      <c r="M24" s="13" t="s">
        <v>113</v>
      </c>
      <c r="N24" s="13" t="s">
        <v>175</v>
      </c>
    </row>
    <row r="25" spans="1:14" ht="78" customHeight="1" x14ac:dyDescent="0.35">
      <c r="A25" s="10">
        <f t="shared" si="0"/>
        <v>21</v>
      </c>
      <c r="B25" s="14">
        <v>46151</v>
      </c>
      <c r="C25" s="11" t="s">
        <v>92</v>
      </c>
      <c r="D25" s="11" t="s">
        <v>40</v>
      </c>
      <c r="E25" s="11" t="s">
        <v>41</v>
      </c>
      <c r="F25" s="11" t="s">
        <v>57</v>
      </c>
      <c r="G25" s="11" t="s">
        <v>176</v>
      </c>
      <c r="H25" s="11" t="s">
        <v>177</v>
      </c>
      <c r="I25" s="11" t="s">
        <v>142</v>
      </c>
      <c r="J25" s="11" t="s">
        <v>178</v>
      </c>
      <c r="K25" s="11" t="s">
        <v>179</v>
      </c>
      <c r="L25" s="16">
        <v>20</v>
      </c>
      <c r="M25" s="11" t="s">
        <v>113</v>
      </c>
      <c r="N25" s="11" t="s">
        <v>180</v>
      </c>
    </row>
    <row r="26" spans="1:14" ht="78" customHeight="1" x14ac:dyDescent="0.35">
      <c r="A26" s="12">
        <v>22</v>
      </c>
      <c r="B26" s="15">
        <v>46152</v>
      </c>
      <c r="C26" s="13" t="s">
        <v>92</v>
      </c>
      <c r="D26" s="13" t="s">
        <v>40</v>
      </c>
      <c r="E26" s="13" t="s">
        <v>41</v>
      </c>
      <c r="F26" s="13" t="s">
        <v>57</v>
      </c>
      <c r="G26" s="13" t="s">
        <v>181</v>
      </c>
      <c r="H26" s="13" t="s">
        <v>182</v>
      </c>
      <c r="I26" s="13" t="s">
        <v>183</v>
      </c>
      <c r="J26" s="13" t="s">
        <v>184</v>
      </c>
      <c r="K26" s="13" t="s">
        <v>185</v>
      </c>
      <c r="L26" s="17">
        <v>45</v>
      </c>
      <c r="M26" s="13" t="s">
        <v>113</v>
      </c>
      <c r="N26" s="13" t="s">
        <v>186</v>
      </c>
    </row>
    <row r="27" spans="1:14" ht="78" customHeight="1" x14ac:dyDescent="0.35">
      <c r="A27" s="10">
        <f t="shared" si="0"/>
        <v>23</v>
      </c>
      <c r="B27" s="14">
        <v>46156</v>
      </c>
      <c r="C27" s="11" t="s">
        <v>92</v>
      </c>
      <c r="D27" s="11" t="s">
        <v>40</v>
      </c>
      <c r="E27" s="11" t="s">
        <v>41</v>
      </c>
      <c r="F27" s="11" t="s">
        <v>57</v>
      </c>
      <c r="G27" s="11" t="s">
        <v>187</v>
      </c>
      <c r="H27" s="11" t="s">
        <v>188</v>
      </c>
      <c r="I27" s="11" t="s">
        <v>142</v>
      </c>
      <c r="J27" s="11" t="s">
        <v>189</v>
      </c>
      <c r="K27" s="11" t="s">
        <v>190</v>
      </c>
      <c r="L27" s="16">
        <v>25</v>
      </c>
      <c r="M27" s="11" t="s">
        <v>113</v>
      </c>
      <c r="N27" s="11" t="s">
        <v>191</v>
      </c>
    </row>
    <row r="28" spans="1:14" ht="78" customHeight="1" x14ac:dyDescent="0.35">
      <c r="A28" s="12">
        <f t="shared" si="0"/>
        <v>24</v>
      </c>
      <c r="B28" s="15">
        <v>46157</v>
      </c>
      <c r="C28" s="13" t="s">
        <v>92</v>
      </c>
      <c r="D28" s="13" t="s">
        <v>40</v>
      </c>
      <c r="E28" s="13" t="s">
        <v>41</v>
      </c>
      <c r="F28" s="13" t="s">
        <v>100</v>
      </c>
      <c r="G28" s="13" t="s">
        <v>192</v>
      </c>
      <c r="H28" s="13" t="s">
        <v>193</v>
      </c>
      <c r="I28" s="13" t="s">
        <v>194</v>
      </c>
      <c r="J28" s="13" t="s">
        <v>195</v>
      </c>
      <c r="K28" s="13" t="s">
        <v>196</v>
      </c>
      <c r="L28" s="17">
        <v>30</v>
      </c>
      <c r="M28" s="13" t="s">
        <v>113</v>
      </c>
      <c r="N28" s="13" t="s">
        <v>197</v>
      </c>
    </row>
    <row r="29" spans="1:14" ht="78" customHeight="1" x14ac:dyDescent="0.35">
      <c r="A29" s="10">
        <f t="shared" si="0"/>
        <v>25</v>
      </c>
      <c r="B29" s="14">
        <v>46158</v>
      </c>
      <c r="C29" s="11" t="s">
        <v>92</v>
      </c>
      <c r="D29" s="11" t="s">
        <v>40</v>
      </c>
      <c r="E29" s="11" t="s">
        <v>41</v>
      </c>
      <c r="F29" s="11" t="s">
        <v>57</v>
      </c>
      <c r="G29" s="11" t="s">
        <v>198</v>
      </c>
      <c r="H29" s="11" t="s">
        <v>199</v>
      </c>
      <c r="I29" s="11" t="s">
        <v>142</v>
      </c>
      <c r="J29" s="11" t="s">
        <v>200</v>
      </c>
      <c r="K29" s="11" t="s">
        <v>201</v>
      </c>
      <c r="L29" s="16">
        <v>20</v>
      </c>
      <c r="M29" s="11" t="s">
        <v>113</v>
      </c>
      <c r="N29" s="11" t="s">
        <v>202</v>
      </c>
    </row>
    <row r="30" spans="1:14" ht="78" customHeight="1" x14ac:dyDescent="0.35">
      <c r="A30" s="12">
        <f t="shared" si="0"/>
        <v>26</v>
      </c>
      <c r="B30" s="15">
        <v>46158</v>
      </c>
      <c r="C30" s="13" t="s">
        <v>92</v>
      </c>
      <c r="D30" s="13" t="s">
        <v>40</v>
      </c>
      <c r="E30" s="13" t="s">
        <v>41</v>
      </c>
      <c r="F30" s="13" t="s">
        <v>78</v>
      </c>
      <c r="G30" s="13" t="s">
        <v>203</v>
      </c>
      <c r="H30" s="13" t="s">
        <v>204</v>
      </c>
      <c r="I30" s="13" t="s">
        <v>205</v>
      </c>
      <c r="J30" s="13" t="s">
        <v>206</v>
      </c>
      <c r="K30" s="13" t="s">
        <v>207</v>
      </c>
      <c r="L30" s="17">
        <v>20</v>
      </c>
      <c r="M30" s="13" t="s">
        <v>113</v>
      </c>
      <c r="N30" s="13" t="s">
        <v>208</v>
      </c>
    </row>
    <row r="31" spans="1:14" ht="78" customHeight="1" x14ac:dyDescent="0.35">
      <c r="A31" s="10">
        <f t="shared" si="0"/>
        <v>27</v>
      </c>
      <c r="B31" s="14">
        <v>46159</v>
      </c>
      <c r="C31" s="11" t="s">
        <v>92</v>
      </c>
      <c r="D31" s="11" t="s">
        <v>40</v>
      </c>
      <c r="E31" s="11" t="s">
        <v>41</v>
      </c>
      <c r="F31" s="11" t="s">
        <v>50</v>
      </c>
      <c r="G31" s="11" t="s">
        <v>209</v>
      </c>
      <c r="H31" s="11" t="s">
        <v>210</v>
      </c>
      <c r="I31" s="11" t="s">
        <v>211</v>
      </c>
      <c r="J31" s="11" t="s">
        <v>212</v>
      </c>
      <c r="K31" s="11" t="s">
        <v>213</v>
      </c>
      <c r="L31" s="16">
        <v>35</v>
      </c>
      <c r="M31" s="11" t="s">
        <v>48</v>
      </c>
      <c r="N31" s="11" t="s">
        <v>214</v>
      </c>
    </row>
    <row r="32" spans="1:14" ht="78" customHeight="1" x14ac:dyDescent="0.35">
      <c r="A32" s="12">
        <f t="shared" si="0"/>
        <v>28</v>
      </c>
      <c r="B32" s="15">
        <v>46159</v>
      </c>
      <c r="C32" s="13" t="s">
        <v>215</v>
      </c>
      <c r="D32" s="13" t="s">
        <v>40</v>
      </c>
      <c r="E32" s="13" t="s">
        <v>41</v>
      </c>
      <c r="F32" s="13" t="s">
        <v>78</v>
      </c>
      <c r="G32" s="13" t="s">
        <v>216</v>
      </c>
      <c r="H32" s="13" t="s">
        <v>217</v>
      </c>
      <c r="I32" s="13" t="s">
        <v>218</v>
      </c>
      <c r="J32" s="13" t="s">
        <v>219</v>
      </c>
      <c r="K32" s="13" t="s">
        <v>220</v>
      </c>
      <c r="L32" s="17">
        <v>45</v>
      </c>
      <c r="M32" s="13" t="s">
        <v>48</v>
      </c>
      <c r="N32" s="13" t="s">
        <v>221</v>
      </c>
    </row>
    <row r="33" spans="1:14" ht="78" customHeight="1" x14ac:dyDescent="0.35">
      <c r="A33" s="10">
        <f t="shared" si="0"/>
        <v>29</v>
      </c>
      <c r="B33" s="14">
        <v>46159</v>
      </c>
      <c r="C33" s="11" t="s">
        <v>215</v>
      </c>
      <c r="D33" s="11" t="s">
        <v>40</v>
      </c>
      <c r="E33" s="11" t="s">
        <v>41</v>
      </c>
      <c r="F33" s="11" t="s">
        <v>78</v>
      </c>
      <c r="G33" s="11" t="s">
        <v>222</v>
      </c>
      <c r="H33" s="11" t="s">
        <v>223</v>
      </c>
      <c r="I33" s="11" t="s">
        <v>224</v>
      </c>
      <c r="J33" s="11" t="s">
        <v>225</v>
      </c>
      <c r="K33" s="11" t="s">
        <v>226</v>
      </c>
      <c r="L33" s="16">
        <v>25</v>
      </c>
      <c r="M33" s="11" t="s">
        <v>113</v>
      </c>
      <c r="N33" s="11" t="s">
        <v>227</v>
      </c>
    </row>
    <row r="34" spans="1:14" ht="78" customHeight="1" x14ac:dyDescent="0.35">
      <c r="A34" s="12">
        <f t="shared" si="0"/>
        <v>30</v>
      </c>
      <c r="B34" s="15">
        <v>46162</v>
      </c>
      <c r="C34" s="13" t="s">
        <v>215</v>
      </c>
      <c r="D34" s="13" t="s">
        <v>40</v>
      </c>
      <c r="E34" s="13" t="s">
        <v>41</v>
      </c>
      <c r="F34" s="13" t="s">
        <v>42</v>
      </c>
      <c r="G34" s="13" t="s">
        <v>228</v>
      </c>
      <c r="H34" s="13" t="s">
        <v>229</v>
      </c>
      <c r="I34" s="13" t="s">
        <v>230</v>
      </c>
      <c r="J34" s="13" t="s">
        <v>231</v>
      </c>
      <c r="K34" s="13" t="s">
        <v>232</v>
      </c>
      <c r="L34" s="17">
        <v>20</v>
      </c>
      <c r="M34" s="13" t="s">
        <v>48</v>
      </c>
      <c r="N34" s="13" t="s">
        <v>233</v>
      </c>
    </row>
    <row r="35" spans="1:14" ht="78" customHeight="1" x14ac:dyDescent="0.35">
      <c r="A35" s="10">
        <v>31</v>
      </c>
      <c r="B35" s="14">
        <v>46162</v>
      </c>
      <c r="C35" s="11" t="s">
        <v>92</v>
      </c>
      <c r="D35" s="11" t="s">
        <v>40</v>
      </c>
      <c r="E35" s="11" t="s">
        <v>41</v>
      </c>
      <c r="F35" s="11" t="s">
        <v>57</v>
      </c>
      <c r="G35" s="11" t="s">
        <v>234</v>
      </c>
      <c r="H35" s="11" t="s">
        <v>235</v>
      </c>
      <c r="I35" s="11" t="s">
        <v>236</v>
      </c>
      <c r="J35" s="11" t="s">
        <v>237</v>
      </c>
      <c r="K35" s="11" t="s">
        <v>238</v>
      </c>
      <c r="L35" s="16">
        <v>45</v>
      </c>
      <c r="M35" s="11" t="s">
        <v>113</v>
      </c>
      <c r="N35" s="11" t="s">
        <v>175</v>
      </c>
    </row>
    <row r="36" spans="1:14" ht="78" customHeight="1" x14ac:dyDescent="0.35">
      <c r="A36" s="12">
        <v>32</v>
      </c>
      <c r="B36" s="15">
        <v>46163</v>
      </c>
      <c r="C36" s="13" t="s">
        <v>215</v>
      </c>
      <c r="D36" s="13" t="s">
        <v>40</v>
      </c>
      <c r="E36" s="13" t="s">
        <v>41</v>
      </c>
      <c r="F36" s="13" t="s">
        <v>78</v>
      </c>
      <c r="G36" s="13" t="s">
        <v>239</v>
      </c>
      <c r="H36" s="13" t="s">
        <v>240</v>
      </c>
      <c r="I36" s="13" t="s">
        <v>218</v>
      </c>
      <c r="J36" s="13" t="s">
        <v>241</v>
      </c>
      <c r="K36" s="13" t="s">
        <v>242</v>
      </c>
      <c r="L36" s="17">
        <v>25</v>
      </c>
      <c r="M36" s="13" t="s">
        <v>48</v>
      </c>
      <c r="N36" s="13" t="s">
        <v>243</v>
      </c>
    </row>
    <row r="37" spans="1:14" ht="78" customHeight="1" x14ac:dyDescent="0.35">
      <c r="A37" s="10">
        <v>33</v>
      </c>
      <c r="B37" s="14">
        <v>46164</v>
      </c>
      <c r="C37" s="11" t="s">
        <v>92</v>
      </c>
      <c r="D37" s="11" t="s">
        <v>40</v>
      </c>
      <c r="E37" s="11" t="s">
        <v>41</v>
      </c>
      <c r="F37" s="11" t="s">
        <v>57</v>
      </c>
      <c r="G37" s="11" t="s">
        <v>244</v>
      </c>
      <c r="H37" s="11" t="s">
        <v>245</v>
      </c>
      <c r="I37" s="11" t="s">
        <v>246</v>
      </c>
      <c r="J37" s="11" t="s">
        <v>247</v>
      </c>
      <c r="K37" s="11" t="s">
        <v>238</v>
      </c>
      <c r="L37" s="16">
        <v>15</v>
      </c>
      <c r="M37" s="11" t="s">
        <v>113</v>
      </c>
      <c r="N37" s="11" t="s">
        <v>248</v>
      </c>
    </row>
    <row r="38" spans="1:14" ht="78" customHeight="1" x14ac:dyDescent="0.35">
      <c r="A38" s="12">
        <v>34</v>
      </c>
      <c r="B38" s="15">
        <v>46167</v>
      </c>
      <c r="C38" s="13" t="s">
        <v>215</v>
      </c>
      <c r="D38" s="13" t="s">
        <v>40</v>
      </c>
      <c r="E38" s="13" t="s">
        <v>41</v>
      </c>
      <c r="F38" s="13" t="s">
        <v>42</v>
      </c>
      <c r="G38" s="13" t="s">
        <v>249</v>
      </c>
      <c r="H38" s="13" t="s">
        <v>250</v>
      </c>
      <c r="I38" s="13" t="s">
        <v>251</v>
      </c>
      <c r="J38" s="13" t="s">
        <v>252</v>
      </c>
      <c r="K38" s="13" t="s">
        <v>253</v>
      </c>
      <c r="L38" s="17">
        <v>25</v>
      </c>
      <c r="M38" s="13" t="s">
        <v>48</v>
      </c>
      <c r="N38" s="13" t="s">
        <v>254</v>
      </c>
    </row>
    <row r="39" spans="1:14" ht="78" customHeight="1" x14ac:dyDescent="0.35">
      <c r="A39" s="10">
        <v>35</v>
      </c>
      <c r="B39" s="14" t="s">
        <v>274</v>
      </c>
      <c r="C39" s="11" t="s">
        <v>139</v>
      </c>
      <c r="D39" s="11" t="s">
        <v>40</v>
      </c>
      <c r="E39" s="11" t="s">
        <v>41</v>
      </c>
      <c r="F39" s="11" t="s">
        <v>100</v>
      </c>
      <c r="G39" s="11" t="s">
        <v>383</v>
      </c>
      <c r="H39" s="11" t="s">
        <v>275</v>
      </c>
      <c r="I39" s="11" t="s">
        <v>276</v>
      </c>
      <c r="J39" s="11" t="s">
        <v>384</v>
      </c>
      <c r="K39" s="11" t="s">
        <v>277</v>
      </c>
      <c r="L39" s="16">
        <v>120</v>
      </c>
      <c r="M39" s="11" t="s">
        <v>48</v>
      </c>
      <c r="N39" s="11" t="s">
        <v>385</v>
      </c>
    </row>
    <row r="40" spans="1:14" ht="78" customHeight="1" x14ac:dyDescent="0.35">
      <c r="A40" s="12">
        <v>36</v>
      </c>
      <c r="B40" s="15" t="s">
        <v>278</v>
      </c>
      <c r="C40" s="13" t="s">
        <v>139</v>
      </c>
      <c r="D40" s="13" t="s">
        <v>40</v>
      </c>
      <c r="E40" s="13" t="s">
        <v>41</v>
      </c>
      <c r="F40" s="13" t="s">
        <v>71</v>
      </c>
      <c r="G40" s="13" t="s">
        <v>279</v>
      </c>
      <c r="H40" s="13" t="s">
        <v>280</v>
      </c>
      <c r="I40" s="13" t="s">
        <v>281</v>
      </c>
      <c r="J40" s="13" t="s">
        <v>282</v>
      </c>
      <c r="K40" s="13" t="s">
        <v>283</v>
      </c>
      <c r="L40" s="17">
        <v>35</v>
      </c>
      <c r="M40" s="13" t="s">
        <v>48</v>
      </c>
      <c r="N40" s="13" t="s">
        <v>284</v>
      </c>
    </row>
    <row r="41" spans="1:14" ht="78" customHeight="1" x14ac:dyDescent="0.35">
      <c r="A41" s="10">
        <v>39</v>
      </c>
      <c r="B41" s="14" t="s">
        <v>285</v>
      </c>
      <c r="C41" s="11" t="s">
        <v>139</v>
      </c>
      <c r="D41" s="11" t="s">
        <v>40</v>
      </c>
      <c r="E41" s="11" t="s">
        <v>41</v>
      </c>
      <c r="F41" s="11" t="s">
        <v>100</v>
      </c>
      <c r="G41" s="11" t="s">
        <v>286</v>
      </c>
      <c r="H41" s="11" t="s">
        <v>287</v>
      </c>
      <c r="I41" s="11" t="s">
        <v>288</v>
      </c>
      <c r="J41" s="11" t="s">
        <v>289</v>
      </c>
      <c r="K41" s="11" t="s">
        <v>290</v>
      </c>
      <c r="L41" s="16">
        <v>75</v>
      </c>
      <c r="M41" s="11" t="s">
        <v>106</v>
      </c>
      <c r="N41" s="11" t="s">
        <v>291</v>
      </c>
    </row>
    <row r="42" spans="1:14" ht="78" customHeight="1" x14ac:dyDescent="0.35">
      <c r="A42" s="12">
        <v>40</v>
      </c>
      <c r="B42" s="15" t="s">
        <v>292</v>
      </c>
      <c r="C42" s="13" t="s">
        <v>92</v>
      </c>
      <c r="D42" s="13" t="s">
        <v>40</v>
      </c>
      <c r="E42" s="13" t="s">
        <v>41</v>
      </c>
      <c r="F42" s="13" t="s">
        <v>50</v>
      </c>
      <c r="G42" s="13" t="s">
        <v>293</v>
      </c>
      <c r="H42" s="13" t="s">
        <v>386</v>
      </c>
      <c r="I42" s="13" t="s">
        <v>294</v>
      </c>
      <c r="J42" s="13" t="s">
        <v>295</v>
      </c>
      <c r="K42" s="13" t="s">
        <v>296</v>
      </c>
      <c r="L42" s="17">
        <v>60</v>
      </c>
      <c r="M42" s="13" t="s">
        <v>48</v>
      </c>
      <c r="N42" s="13" t="s">
        <v>387</v>
      </c>
    </row>
    <row r="43" spans="1:14" ht="78" customHeight="1" x14ac:dyDescent="0.35">
      <c r="A43" s="10">
        <v>41</v>
      </c>
      <c r="B43" s="14" t="s">
        <v>297</v>
      </c>
      <c r="C43" s="11" t="s">
        <v>92</v>
      </c>
      <c r="D43" s="11" t="s">
        <v>40</v>
      </c>
      <c r="E43" s="11" t="s">
        <v>41</v>
      </c>
      <c r="F43" s="11" t="s">
        <v>57</v>
      </c>
      <c r="G43" s="11" t="s">
        <v>298</v>
      </c>
      <c r="H43" s="11" t="s">
        <v>299</v>
      </c>
      <c r="I43" s="11" t="s">
        <v>300</v>
      </c>
      <c r="J43" s="11" t="s">
        <v>301</v>
      </c>
      <c r="K43" s="11" t="s">
        <v>302</v>
      </c>
      <c r="L43" s="16">
        <v>45</v>
      </c>
      <c r="M43" s="11" t="s">
        <v>48</v>
      </c>
      <c r="N43" s="11" t="s">
        <v>303</v>
      </c>
    </row>
    <row r="44" spans="1:14" ht="78" customHeight="1" x14ac:dyDescent="0.35">
      <c r="A44" s="12">
        <v>42</v>
      </c>
      <c r="B44" s="15" t="s">
        <v>297</v>
      </c>
      <c r="C44" s="13" t="s">
        <v>92</v>
      </c>
      <c r="D44" s="13" t="s">
        <v>40</v>
      </c>
      <c r="E44" s="13" t="s">
        <v>41</v>
      </c>
      <c r="F44" s="13" t="s">
        <v>57</v>
      </c>
      <c r="G44" s="13" t="s">
        <v>304</v>
      </c>
      <c r="H44" s="13" t="s">
        <v>305</v>
      </c>
      <c r="I44" s="13" t="s">
        <v>405</v>
      </c>
      <c r="J44" s="13" t="s">
        <v>306</v>
      </c>
      <c r="K44" s="13" t="s">
        <v>307</v>
      </c>
      <c r="L44" s="17">
        <v>45</v>
      </c>
      <c r="M44" s="13" t="s">
        <v>113</v>
      </c>
      <c r="N44" s="13" t="s">
        <v>308</v>
      </c>
    </row>
    <row r="45" spans="1:14" ht="78" customHeight="1" x14ac:dyDescent="0.35">
      <c r="A45" s="10">
        <v>43</v>
      </c>
      <c r="B45" s="14" t="s">
        <v>309</v>
      </c>
      <c r="C45" s="11" t="s">
        <v>92</v>
      </c>
      <c r="D45" s="11" t="s">
        <v>40</v>
      </c>
      <c r="E45" s="11" t="s">
        <v>41</v>
      </c>
      <c r="F45" s="11" t="s">
        <v>78</v>
      </c>
      <c r="G45" s="11" t="s">
        <v>310</v>
      </c>
      <c r="H45" s="11" t="s">
        <v>311</v>
      </c>
      <c r="I45" s="11" t="s">
        <v>312</v>
      </c>
      <c r="J45" s="11" t="s">
        <v>313</v>
      </c>
      <c r="K45" s="11" t="s">
        <v>314</v>
      </c>
      <c r="L45" s="16">
        <v>25</v>
      </c>
      <c r="M45" s="11" t="s">
        <v>113</v>
      </c>
      <c r="N45" s="11" t="s">
        <v>315</v>
      </c>
    </row>
    <row r="46" spans="1:14" ht="78" customHeight="1" x14ac:dyDescent="0.35">
      <c r="A46" s="12">
        <v>44</v>
      </c>
      <c r="B46" s="15" t="s">
        <v>316</v>
      </c>
      <c r="C46" s="13" t="s">
        <v>92</v>
      </c>
      <c r="D46" s="13" t="s">
        <v>40</v>
      </c>
      <c r="E46" s="13" t="s">
        <v>41</v>
      </c>
      <c r="F46" s="13" t="s">
        <v>57</v>
      </c>
      <c r="G46" s="13" t="s">
        <v>317</v>
      </c>
      <c r="H46" s="13" t="s">
        <v>318</v>
      </c>
      <c r="I46" s="13" t="s">
        <v>319</v>
      </c>
      <c r="J46" s="13" t="s">
        <v>320</v>
      </c>
      <c r="K46" s="13" t="s">
        <v>321</v>
      </c>
      <c r="L46" s="17">
        <v>35</v>
      </c>
      <c r="M46" s="13" t="s">
        <v>48</v>
      </c>
      <c r="N46" s="13" t="s">
        <v>322</v>
      </c>
    </row>
    <row r="47" spans="1:14" ht="78" customHeight="1" x14ac:dyDescent="0.35">
      <c r="A47" s="10">
        <v>45</v>
      </c>
      <c r="B47" s="14" t="s">
        <v>323</v>
      </c>
      <c r="C47" s="11" t="s">
        <v>215</v>
      </c>
      <c r="D47" s="11" t="s">
        <v>40</v>
      </c>
      <c r="E47" s="11" t="s">
        <v>41</v>
      </c>
      <c r="F47" s="11" t="s">
        <v>272</v>
      </c>
      <c r="G47" s="11" t="s">
        <v>324</v>
      </c>
      <c r="H47" s="11" t="s">
        <v>325</v>
      </c>
      <c r="I47" s="11" t="s">
        <v>326</v>
      </c>
      <c r="J47" s="11" t="s">
        <v>327</v>
      </c>
      <c r="K47" s="11" t="s">
        <v>328</v>
      </c>
      <c r="L47" s="16">
        <v>75</v>
      </c>
      <c r="M47" s="11" t="s">
        <v>106</v>
      </c>
      <c r="N47" s="11" t="s">
        <v>329</v>
      </c>
    </row>
    <row r="48" spans="1:14" ht="78" customHeight="1" x14ac:dyDescent="0.35">
      <c r="A48" s="12">
        <v>46</v>
      </c>
      <c r="B48" s="15" t="s">
        <v>323</v>
      </c>
      <c r="C48" s="13" t="s">
        <v>92</v>
      </c>
      <c r="D48" s="13" t="s">
        <v>40</v>
      </c>
      <c r="E48" s="13" t="s">
        <v>41</v>
      </c>
      <c r="F48" s="13" t="s">
        <v>152</v>
      </c>
      <c r="G48" s="13" t="s">
        <v>330</v>
      </c>
      <c r="H48" s="13" t="s">
        <v>331</v>
      </c>
      <c r="I48" s="13" t="s">
        <v>332</v>
      </c>
      <c r="J48" s="13" t="s">
        <v>333</v>
      </c>
      <c r="K48" s="13" t="s">
        <v>334</v>
      </c>
      <c r="L48" s="17">
        <v>25</v>
      </c>
      <c r="M48" s="13" t="s">
        <v>48</v>
      </c>
      <c r="N48" s="13" t="s">
        <v>335</v>
      </c>
    </row>
    <row r="49" spans="1:14" ht="78" customHeight="1" x14ac:dyDescent="0.35">
      <c r="A49" s="10">
        <v>47</v>
      </c>
      <c r="B49" s="14" t="s">
        <v>323</v>
      </c>
      <c r="C49" s="11" t="s">
        <v>92</v>
      </c>
      <c r="D49" s="11" t="s">
        <v>40</v>
      </c>
      <c r="E49" s="11" t="s">
        <v>41</v>
      </c>
      <c r="F49" s="11" t="s">
        <v>57</v>
      </c>
      <c r="G49" s="11" t="s">
        <v>336</v>
      </c>
      <c r="H49" s="11" t="s">
        <v>337</v>
      </c>
      <c r="I49" s="11" t="s">
        <v>338</v>
      </c>
      <c r="J49" s="11" t="s">
        <v>339</v>
      </c>
      <c r="K49" s="11" t="s">
        <v>340</v>
      </c>
      <c r="L49" s="16">
        <v>45</v>
      </c>
      <c r="M49" s="11" t="s">
        <v>48</v>
      </c>
      <c r="N49" s="11" t="s">
        <v>341</v>
      </c>
    </row>
    <row r="50" spans="1:14" ht="78" customHeight="1" x14ac:dyDescent="0.35">
      <c r="A50" s="12">
        <v>49</v>
      </c>
      <c r="B50" s="15" t="s">
        <v>342</v>
      </c>
      <c r="C50" s="13" t="s">
        <v>215</v>
      </c>
      <c r="D50" s="13" t="s">
        <v>40</v>
      </c>
      <c r="E50" s="13" t="s">
        <v>41</v>
      </c>
      <c r="F50" s="13" t="s">
        <v>272</v>
      </c>
      <c r="G50" s="13" t="s">
        <v>388</v>
      </c>
      <c r="H50" s="13" t="s">
        <v>389</v>
      </c>
      <c r="I50" s="13" t="s">
        <v>343</v>
      </c>
      <c r="J50" s="13" t="s">
        <v>390</v>
      </c>
      <c r="K50" s="13" t="s">
        <v>391</v>
      </c>
      <c r="L50" s="17">
        <v>35</v>
      </c>
      <c r="M50" s="13" t="s">
        <v>48</v>
      </c>
      <c r="N50" s="13" t="s">
        <v>392</v>
      </c>
    </row>
    <row r="51" spans="1:14" ht="78" customHeight="1" x14ac:dyDescent="0.35">
      <c r="A51" s="10">
        <v>50</v>
      </c>
      <c r="B51" s="14" t="s">
        <v>342</v>
      </c>
      <c r="C51" s="11" t="s">
        <v>92</v>
      </c>
      <c r="D51" s="11" t="s">
        <v>40</v>
      </c>
      <c r="E51" s="11" t="s">
        <v>41</v>
      </c>
      <c r="F51" s="11" t="s">
        <v>71</v>
      </c>
      <c r="G51" s="11" t="s">
        <v>344</v>
      </c>
      <c r="H51" s="11" t="s">
        <v>345</v>
      </c>
      <c r="I51" s="11" t="s">
        <v>346</v>
      </c>
      <c r="J51" s="11" t="s">
        <v>347</v>
      </c>
      <c r="K51" s="11" t="s">
        <v>348</v>
      </c>
      <c r="L51" s="16">
        <v>40</v>
      </c>
      <c r="M51" s="11" t="s">
        <v>106</v>
      </c>
      <c r="N51" s="11" t="s">
        <v>349</v>
      </c>
    </row>
    <row r="52" spans="1:14" ht="78" customHeight="1" x14ac:dyDescent="0.35">
      <c r="A52" s="12">
        <v>51</v>
      </c>
      <c r="B52" s="15" t="s">
        <v>350</v>
      </c>
      <c r="C52" s="13" t="s">
        <v>92</v>
      </c>
      <c r="D52" s="13" t="s">
        <v>40</v>
      </c>
      <c r="E52" s="13" t="s">
        <v>41</v>
      </c>
      <c r="F52" s="13" t="s">
        <v>57</v>
      </c>
      <c r="G52" s="13" t="s">
        <v>351</v>
      </c>
      <c r="H52" s="13" t="s">
        <v>352</v>
      </c>
      <c r="I52" s="13" t="s">
        <v>353</v>
      </c>
      <c r="J52" s="13" t="s">
        <v>354</v>
      </c>
      <c r="K52" s="13" t="s">
        <v>355</v>
      </c>
      <c r="L52" s="17">
        <v>35</v>
      </c>
      <c r="M52" s="13" t="s">
        <v>113</v>
      </c>
      <c r="N52" s="13" t="s">
        <v>356</v>
      </c>
    </row>
    <row r="53" spans="1:14" ht="78" customHeight="1" x14ac:dyDescent="0.35">
      <c r="A53" s="10">
        <v>53</v>
      </c>
      <c r="B53" s="14" t="s">
        <v>357</v>
      </c>
      <c r="C53" s="11" t="s">
        <v>215</v>
      </c>
      <c r="D53" s="11" t="s">
        <v>263</v>
      </c>
      <c r="E53" s="11" t="s">
        <v>358</v>
      </c>
      <c r="F53" s="11" t="s">
        <v>272</v>
      </c>
      <c r="G53" s="11" t="s">
        <v>359</v>
      </c>
      <c r="H53" s="11" t="s">
        <v>360</v>
      </c>
      <c r="I53" s="11" t="s">
        <v>361</v>
      </c>
      <c r="J53" s="11" t="s">
        <v>362</v>
      </c>
      <c r="K53" s="11" t="s">
        <v>363</v>
      </c>
      <c r="L53" s="16">
        <v>70</v>
      </c>
      <c r="M53" s="11" t="s">
        <v>106</v>
      </c>
      <c r="N53" s="11" t="s">
        <v>364</v>
      </c>
    </row>
    <row r="54" spans="1:14" ht="78" customHeight="1" x14ac:dyDescent="0.35">
      <c r="A54" s="12">
        <v>54</v>
      </c>
      <c r="B54" s="15" t="s">
        <v>357</v>
      </c>
      <c r="C54" s="13" t="s">
        <v>215</v>
      </c>
      <c r="D54" s="13" t="s">
        <v>263</v>
      </c>
      <c r="E54" s="13" t="s">
        <v>358</v>
      </c>
      <c r="F54" s="13" t="s">
        <v>78</v>
      </c>
      <c r="G54" s="13" t="s">
        <v>365</v>
      </c>
      <c r="H54" s="13" t="s">
        <v>366</v>
      </c>
      <c r="I54" s="13" t="s">
        <v>367</v>
      </c>
      <c r="J54" s="13" t="s">
        <v>368</v>
      </c>
      <c r="K54" s="13" t="s">
        <v>314</v>
      </c>
      <c r="L54" s="17">
        <v>45</v>
      </c>
      <c r="M54" s="13" t="s">
        <v>48</v>
      </c>
      <c r="N54" s="13" t="s">
        <v>369</v>
      </c>
    </row>
    <row r="55" spans="1:14" ht="78" customHeight="1" x14ac:dyDescent="0.35">
      <c r="A55" s="10">
        <v>55</v>
      </c>
      <c r="B55" s="14" t="s">
        <v>357</v>
      </c>
      <c r="C55" s="11" t="s">
        <v>215</v>
      </c>
      <c r="D55" s="11" t="s">
        <v>263</v>
      </c>
      <c r="E55" s="11" t="s">
        <v>358</v>
      </c>
      <c r="F55" s="11" t="s">
        <v>57</v>
      </c>
      <c r="G55" s="11" t="s">
        <v>370</v>
      </c>
      <c r="H55" s="11" t="s">
        <v>371</v>
      </c>
      <c r="I55" s="11" t="s">
        <v>372</v>
      </c>
      <c r="J55" s="11" t="s">
        <v>373</v>
      </c>
      <c r="K55" s="11" t="s">
        <v>374</v>
      </c>
      <c r="L55" s="16">
        <v>35</v>
      </c>
      <c r="M55" s="11" t="s">
        <v>113</v>
      </c>
      <c r="N55" s="11" t="s">
        <v>375</v>
      </c>
    </row>
    <row r="56" spans="1:14" ht="78" customHeight="1" x14ac:dyDescent="0.35">
      <c r="A56" s="12">
        <v>56</v>
      </c>
      <c r="B56" s="15" t="s">
        <v>357</v>
      </c>
      <c r="C56" s="13" t="s">
        <v>215</v>
      </c>
      <c r="D56" s="13" t="s">
        <v>264</v>
      </c>
      <c r="E56" s="13" t="s">
        <v>376</v>
      </c>
      <c r="F56" s="13" t="s">
        <v>272</v>
      </c>
      <c r="G56" s="13" t="s">
        <v>377</v>
      </c>
      <c r="H56" s="13" t="s">
        <v>378</v>
      </c>
      <c r="I56" s="13" t="s">
        <v>379</v>
      </c>
      <c r="J56" s="13" t="s">
        <v>380</v>
      </c>
      <c r="K56" s="13" t="s">
        <v>381</v>
      </c>
      <c r="L56" s="17">
        <v>60</v>
      </c>
      <c r="M56" s="13" t="s">
        <v>106</v>
      </c>
      <c r="N56" s="13" t="s">
        <v>382</v>
      </c>
    </row>
    <row r="57" spans="1:14" ht="78" customHeight="1" x14ac:dyDescent="0.35">
      <c r="A57" s="10">
        <v>59</v>
      </c>
      <c r="B57" s="14" t="s">
        <v>350</v>
      </c>
      <c r="C57" s="11" t="s">
        <v>215</v>
      </c>
      <c r="D57" s="11" t="s">
        <v>40</v>
      </c>
      <c r="E57" s="11" t="s">
        <v>41</v>
      </c>
      <c r="F57" s="11" t="s">
        <v>57</v>
      </c>
      <c r="G57" s="11" t="s">
        <v>393</v>
      </c>
      <c r="H57" s="11" t="s">
        <v>394</v>
      </c>
      <c r="I57" s="11" t="s">
        <v>395</v>
      </c>
      <c r="J57" s="11" t="s">
        <v>396</v>
      </c>
      <c r="K57" s="11" t="s">
        <v>397</v>
      </c>
      <c r="L57" s="16">
        <v>20</v>
      </c>
      <c r="M57" s="11" t="s">
        <v>113</v>
      </c>
      <c r="N57" s="11" t="s">
        <v>398</v>
      </c>
    </row>
    <row r="58" spans="1:14" ht="78" customHeight="1" x14ac:dyDescent="0.35">
      <c r="A58" s="12">
        <v>60</v>
      </c>
      <c r="B58" s="15" t="s">
        <v>350</v>
      </c>
      <c r="C58" s="13" t="s">
        <v>215</v>
      </c>
      <c r="D58" s="13" t="s">
        <v>263</v>
      </c>
      <c r="E58" s="13" t="s">
        <v>358</v>
      </c>
      <c r="F58" s="13" t="s">
        <v>272</v>
      </c>
      <c r="G58" s="13" t="s">
        <v>399</v>
      </c>
      <c r="H58" s="13" t="s">
        <v>400</v>
      </c>
      <c r="I58" s="13" t="s">
        <v>404</v>
      </c>
      <c r="J58" s="13" t="s">
        <v>401</v>
      </c>
      <c r="K58" s="13" t="s">
        <v>402</v>
      </c>
      <c r="L58" s="17">
        <v>35</v>
      </c>
      <c r="M58" s="13" t="s">
        <v>106</v>
      </c>
      <c r="N58" s="13" t="s">
        <v>403</v>
      </c>
    </row>
    <row r="59" spans="1:14" ht="78" customHeight="1" x14ac:dyDescent="0.35">
      <c r="A59" s="10">
        <v>61</v>
      </c>
      <c r="B59" s="14">
        <v>46187</v>
      </c>
      <c r="C59" s="11" t="s">
        <v>215</v>
      </c>
      <c r="D59" s="11" t="s">
        <v>40</v>
      </c>
      <c r="E59" s="11" t="s">
        <v>41</v>
      </c>
      <c r="F59" s="11" t="s">
        <v>272</v>
      </c>
      <c r="G59" s="11" t="s">
        <v>406</v>
      </c>
      <c r="H59" s="11" t="s">
        <v>407</v>
      </c>
      <c r="I59" s="11" t="s">
        <v>408</v>
      </c>
      <c r="J59" s="11" t="s">
        <v>409</v>
      </c>
      <c r="K59" s="11" t="s">
        <v>410</v>
      </c>
      <c r="L59" s="16">
        <v>30</v>
      </c>
      <c r="M59" s="11" t="s">
        <v>113</v>
      </c>
      <c r="N59" s="11" t="s">
        <v>411</v>
      </c>
    </row>
    <row r="60" spans="1:14" ht="78" customHeight="1" x14ac:dyDescent="0.35">
      <c r="A60" s="12">
        <v>62</v>
      </c>
      <c r="B60" s="15">
        <v>46188</v>
      </c>
      <c r="C60" s="13" t="s">
        <v>215</v>
      </c>
      <c r="D60" s="13" t="s">
        <v>412</v>
      </c>
      <c r="E60" s="13" t="s">
        <v>413</v>
      </c>
      <c r="F60" s="13" t="s">
        <v>272</v>
      </c>
      <c r="G60" s="13" t="s">
        <v>414</v>
      </c>
      <c r="H60" s="13" t="s">
        <v>415</v>
      </c>
      <c r="I60" s="13" t="s">
        <v>416</v>
      </c>
      <c r="J60" s="13" t="s">
        <v>409</v>
      </c>
      <c r="K60" s="13" t="s">
        <v>417</v>
      </c>
      <c r="L60" s="17">
        <v>60</v>
      </c>
      <c r="M60" s="13" t="s">
        <v>48</v>
      </c>
      <c r="N60" s="13" t="s">
        <v>418</v>
      </c>
    </row>
    <row r="61" spans="1:14" ht="78" customHeight="1" x14ac:dyDescent="0.35">
      <c r="A61" s="10">
        <v>63</v>
      </c>
      <c r="B61" s="14">
        <v>46188</v>
      </c>
      <c r="C61" s="11" t="s">
        <v>215</v>
      </c>
      <c r="D61" s="11" t="s">
        <v>412</v>
      </c>
      <c r="E61" s="11" t="s">
        <v>413</v>
      </c>
      <c r="F61" s="11" t="s">
        <v>78</v>
      </c>
      <c r="G61" s="11" t="s">
        <v>419</v>
      </c>
      <c r="H61" s="11" t="s">
        <v>420</v>
      </c>
      <c r="I61" s="11" t="s">
        <v>421</v>
      </c>
      <c r="J61" s="11" t="s">
        <v>409</v>
      </c>
      <c r="K61" s="11" t="s">
        <v>422</v>
      </c>
      <c r="L61" s="16">
        <v>20</v>
      </c>
      <c r="M61" s="11" t="s">
        <v>113</v>
      </c>
      <c r="N61" s="11" t="s">
        <v>411</v>
      </c>
    </row>
  </sheetData>
  <mergeCells count="3">
    <mergeCell ref="A1:N1"/>
    <mergeCell ref="A2:N2"/>
    <mergeCell ref="A3:N3"/>
  </mergeCells>
  <conditionalFormatting sqref="M5:M61">
    <cfRule type="expression" dxfId="1" priority="1">
      <formula>LEFT(M5,1)="3"</formula>
    </cfRule>
    <cfRule type="expression" dxfId="0" priority="2">
      <formula>LEFT(M5,1)="2"</formula>
    </cfRule>
  </conditionalFormatting>
  <dataValidations count="10">
    <dataValidation type="list" allowBlank="1" errorTitle="Invalid Entry" error="Select a valid thesis phase from the list." sqref="C5:C34" xr:uid="{00000000-0002-0000-0100-000000000000}">
      <formula1>"Phase 1 – Requirements,Phase 2 – Framework Design,Phase 3 – Case Validation,Phase 4 – Stakeholder Evaluation,Thesis Writing,Final Review"</formula1>
      <formula2>0</formula2>
    </dataValidation>
    <dataValidation type="list" allowBlank="1" sqref="D5:D34" xr:uid="{00000000-0002-0000-0100-000001000000}">
      <formula1>"Claude (Anthropic),ChatGPT (OpenAI),Gemini (Google),Copilot (Microsoft),Grammarly,Other"</formula1>
      <formula2>0</formula2>
    </dataValidation>
    <dataValidation type="list" allowBlank="1" sqref="I5:I34" xr:uid="{00000000-0002-0000-0100-000002000000}">
      <formula1>"Used verbatim,Adapted substantially,Adapted minimally,Rejected – not used,Used as reference only"</formula1>
      <formula2>0</formula2>
    </dataValidation>
    <dataValidation type="list" allowBlank="1" sqref="K5:K34" xr:uid="{00000000-0002-0000-0100-000003000000}">
      <formula1>"Y – cross-checked with literature,Y – verified with supervisor,Y – independently validated,N – taken at face value,N/A"</formula1>
      <formula2>0</formula2>
    </dataValidation>
    <dataValidation type="list" allowBlank="1" sqref="M5:M34" xr:uid="{00000000-0002-0000-0100-000004000000}">
      <formula1>"1 – Low (formatting / grammar),2 – Medium (structure / ideation),3 – High (content / analysis)"</formula1>
      <formula2>0</formula2>
    </dataValidation>
    <dataValidation type="list" allowBlank="1" sqref="F5:F34" xr:uid="{00000000-0002-0000-0100-000005000000}">
      <formula1>"Literature Search,Summarisation,Writing Assistance,Editing / Proofreading,Diagram / Visual Generation,Data Analysis,Code / Formula Generation,Translation,Idea Generation / Brainstorming,Other"</formula1>
      <formula2>0</formula2>
    </dataValidation>
    <dataValidation type="list" sqref="C5:C70" xr:uid="{00000000-0002-0000-0100-000006000000}">
      <formula1>"Final Review,Phase 1 – Research Design,Phase 2 – Model &amp; Data Preparation,Phase 3 – Computational Experiments,Phase 4 – Writing &amp; Discussion"</formula1>
    </dataValidation>
    <dataValidation type="list" sqref="D5:D70" xr:uid="{00000000-0002-0000-0100-000007000000}">
      <formula1>"ChatGPT (OpenAI)"</formula1>
    </dataValidation>
    <dataValidation type="list" sqref="F5:F70" xr:uid="{00000000-0002-0000-0100-000008000000}">
      <formula1>"Code / Formula Assistance,Data Analysis,Editing / Proofreading,Final Review / Critical Feedback,Literature Search / Source Use,Model Formulation Review,Research Design / Brainstorming,Results Interpretation,Writing Assistance / Rewriting"</formula1>
    </dataValidation>
    <dataValidation type="list" sqref="M5:M70" xr:uid="{00000000-0002-0000-0100-000009000000}">
      <formula1>"1 – Low (formatting / grammar),2 – Medium (structure / ideation),3 – High (content / analysis)"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H25"/>
  <sheetViews>
    <sheetView showGridLines="0" workbookViewId="0">
      <selection activeCell="D24" sqref="D24"/>
    </sheetView>
  </sheetViews>
  <sheetFormatPr defaultColWidth="8.7265625" defaultRowHeight="14.5" x14ac:dyDescent="0.35"/>
  <cols>
    <col min="1" max="1" width="30" customWidth="1"/>
    <col min="2" max="2" width="8" customWidth="1"/>
    <col min="3" max="3" width="18" customWidth="1"/>
    <col min="4" max="4" width="10" customWidth="1"/>
    <col min="5" max="5" width="22" customWidth="1"/>
    <col min="6" max="6" width="30" customWidth="1"/>
    <col min="7" max="7" width="8" customWidth="1"/>
    <col min="8" max="8" width="10" customWidth="1"/>
  </cols>
  <sheetData>
    <row r="1" spans="1:8" ht="30" customHeight="1" x14ac:dyDescent="0.35">
      <c r="A1" s="22" t="s">
        <v>255</v>
      </c>
      <c r="B1" s="22"/>
      <c r="C1" s="22"/>
      <c r="D1" s="22"/>
      <c r="E1" s="22"/>
      <c r="F1" s="22"/>
      <c r="G1" s="22"/>
      <c r="H1" s="22"/>
    </row>
    <row r="2" spans="1:8" ht="15.75" customHeight="1" x14ac:dyDescent="0.35">
      <c r="A2" s="23" t="s">
        <v>256</v>
      </c>
      <c r="B2" s="23"/>
      <c r="C2" s="23"/>
      <c r="D2" s="23"/>
      <c r="E2" s="23"/>
      <c r="F2" s="23"/>
      <c r="G2" s="23"/>
      <c r="H2" s="23"/>
    </row>
    <row r="3" spans="1:8" x14ac:dyDescent="0.35">
      <c r="A3" s="9"/>
      <c r="B3" s="9"/>
      <c r="C3" s="9"/>
      <c r="D3" s="9"/>
      <c r="E3" s="9"/>
      <c r="F3" s="9"/>
      <c r="G3" s="9"/>
      <c r="H3" s="9"/>
    </row>
    <row r="4" spans="1:8" ht="27.75" customHeight="1" x14ac:dyDescent="0.35">
      <c r="A4" s="24" t="s">
        <v>257</v>
      </c>
      <c r="B4" s="24"/>
      <c r="C4" s="24" t="s">
        <v>258</v>
      </c>
      <c r="D4" s="24"/>
      <c r="E4" s="24" t="s">
        <v>259</v>
      </c>
      <c r="F4" s="24"/>
      <c r="G4" s="24" t="s">
        <v>260</v>
      </c>
      <c r="H4" s="24"/>
    </row>
    <row r="5" spans="1:8" ht="36" customHeight="1" x14ac:dyDescent="0.35">
      <c r="A5" s="25">
        <f>COUNTA('AI Usage Log'!A5:A70)</f>
        <v>57</v>
      </c>
      <c r="B5" s="25"/>
      <c r="C5" s="25">
        <f>SUM('AI Usage Log'!L5:L70)</f>
        <v>2120</v>
      </c>
      <c r="D5" s="25"/>
      <c r="E5" s="25">
        <f>COUNTIF('AI Usage Log'!M5:M70,"3 – High (content / analysis)")</f>
        <v>7</v>
      </c>
      <c r="F5" s="25"/>
      <c r="G5" s="25">
        <f>COUNTIF('AI Usage Log'!K5:K70,"N*")</f>
        <v>0</v>
      </c>
      <c r="H5" s="25"/>
    </row>
    <row r="6" spans="1:8" x14ac:dyDescent="0.35">
      <c r="A6" s="9"/>
      <c r="B6" s="9"/>
      <c r="C6" s="9"/>
      <c r="D6" s="9"/>
      <c r="E6" s="9"/>
      <c r="F6" s="9"/>
      <c r="G6" s="9"/>
      <c r="H6" s="9"/>
    </row>
    <row r="7" spans="1:8" ht="21.75" customHeight="1" x14ac:dyDescent="0.35">
      <c r="A7" s="26" t="s">
        <v>261</v>
      </c>
      <c r="B7" s="26"/>
      <c r="C7" s="26"/>
      <c r="D7" s="26"/>
      <c r="E7" s="9"/>
      <c r="F7" s="26" t="s">
        <v>262</v>
      </c>
      <c r="G7" s="26"/>
      <c r="H7" s="26"/>
    </row>
    <row r="8" spans="1:8" ht="19.5" customHeight="1" x14ac:dyDescent="0.35">
      <c r="A8" s="27" t="s">
        <v>39</v>
      </c>
      <c r="B8" s="27"/>
      <c r="C8" s="27"/>
      <c r="D8" s="1">
        <f>COUNTIF('AI Usage Log'!C5:C70,A8)</f>
        <v>4</v>
      </c>
      <c r="E8" s="9"/>
      <c r="F8" s="27" t="s">
        <v>40</v>
      </c>
      <c r="G8" s="27"/>
      <c r="H8" s="1">
        <f>COUNTIF('AI Usage Log'!D5:D70,F8)</f>
        <v>50</v>
      </c>
    </row>
    <row r="9" spans="1:8" ht="19.5" customHeight="1" x14ac:dyDescent="0.35">
      <c r="A9" s="28" t="s">
        <v>70</v>
      </c>
      <c r="B9" s="28"/>
      <c r="C9" s="28"/>
      <c r="D9" s="2">
        <f>COUNTIF('AI Usage Log'!C5:C70,A9)</f>
        <v>9</v>
      </c>
      <c r="E9" s="9"/>
      <c r="F9" s="28" t="s">
        <v>263</v>
      </c>
      <c r="G9" s="28"/>
      <c r="H9" s="2">
        <f>COUNTIF('AI Usage Log'!D5:D70,F9)</f>
        <v>4</v>
      </c>
    </row>
    <row r="10" spans="1:8" ht="19.5" customHeight="1" x14ac:dyDescent="0.35">
      <c r="A10" s="27" t="s">
        <v>139</v>
      </c>
      <c r="B10" s="27"/>
      <c r="C10" s="27"/>
      <c r="D10" s="1">
        <f>COUNTIF('AI Usage Log'!C5:C70,A10)</f>
        <v>9</v>
      </c>
      <c r="E10" s="9"/>
      <c r="F10" s="27" t="s">
        <v>264</v>
      </c>
      <c r="G10" s="27"/>
      <c r="H10" s="1">
        <f>COUNTIF('AI Usage Log'!D5:D70,F10)</f>
        <v>1</v>
      </c>
    </row>
    <row r="11" spans="1:8" ht="19.5" customHeight="1" x14ac:dyDescent="0.35">
      <c r="A11" s="28" t="s">
        <v>92</v>
      </c>
      <c r="B11" s="28"/>
      <c r="C11" s="28"/>
      <c r="D11" s="2">
        <f>COUNTIF('AI Usage Log'!C5:C70,A11)</f>
        <v>19</v>
      </c>
      <c r="E11" s="9"/>
      <c r="F11" s="28" t="s">
        <v>265</v>
      </c>
      <c r="G11" s="28"/>
      <c r="H11" s="2">
        <f>COUNTIF('AI Usage Log'!D5:D70,F11)</f>
        <v>0</v>
      </c>
    </row>
    <row r="12" spans="1:8" ht="19.5" customHeight="1" x14ac:dyDescent="0.35">
      <c r="A12" s="27" t="s">
        <v>215</v>
      </c>
      <c r="B12" s="27"/>
      <c r="C12" s="27"/>
      <c r="D12" s="1">
        <f>COUNTIF('AI Usage Log'!C5:C70,A12)</f>
        <v>16</v>
      </c>
      <c r="E12" s="9"/>
      <c r="F12" s="27" t="s">
        <v>266</v>
      </c>
      <c r="G12" s="27"/>
      <c r="H12" s="1">
        <f>COUNTIF('AI Usage Log'!D5:D70,F12)</f>
        <v>0</v>
      </c>
    </row>
    <row r="13" spans="1:8" ht="19.5" customHeight="1" x14ac:dyDescent="0.35">
      <c r="A13" s="28"/>
      <c r="B13" s="28"/>
      <c r="C13" s="28"/>
      <c r="D13" s="2"/>
      <c r="E13" s="9"/>
      <c r="F13" s="28"/>
      <c r="G13" s="28"/>
      <c r="H13" s="2"/>
    </row>
    <row r="14" spans="1:8" x14ac:dyDescent="0.35">
      <c r="A14" s="9"/>
      <c r="B14" s="9"/>
      <c r="C14" s="9"/>
      <c r="D14" s="9"/>
      <c r="E14" s="9"/>
      <c r="F14" s="9"/>
      <c r="G14" s="9"/>
      <c r="H14" s="9"/>
    </row>
    <row r="15" spans="1:8" ht="21.75" customHeight="1" x14ac:dyDescent="0.35">
      <c r="A15" s="26" t="s">
        <v>267</v>
      </c>
      <c r="B15" s="26"/>
      <c r="C15" s="26"/>
      <c r="D15" s="26"/>
      <c r="E15" s="9"/>
      <c r="F15" s="26" t="s">
        <v>268</v>
      </c>
      <c r="G15" s="26"/>
      <c r="H15" s="26"/>
    </row>
    <row r="16" spans="1:8" ht="19.5" customHeight="1" x14ac:dyDescent="0.35">
      <c r="A16" s="27" t="s">
        <v>42</v>
      </c>
      <c r="B16" s="27"/>
      <c r="C16" s="27"/>
      <c r="D16" s="1">
        <f>COUNTIF('AI Usage Log'!F5:F70,A16)</f>
        <v>5</v>
      </c>
      <c r="E16" s="9"/>
      <c r="F16" s="29" t="s">
        <v>269</v>
      </c>
      <c r="G16" s="29"/>
      <c r="H16" s="3">
        <f>COUNTIFS('AI Usage Log'!M5:M70,"3 – High (content / analysis)",'AI Usage Log'!K5:K70,"N*")</f>
        <v>0</v>
      </c>
    </row>
    <row r="17" spans="1:8" ht="19.5" customHeight="1" x14ac:dyDescent="0.35">
      <c r="A17" s="28" t="s">
        <v>50</v>
      </c>
      <c r="B17" s="28"/>
      <c r="C17" s="28"/>
      <c r="D17" s="2">
        <f>COUNTIF('AI Usage Log'!F5:F70,A17)</f>
        <v>3</v>
      </c>
      <c r="E17" s="9"/>
      <c r="F17" s="29" t="s">
        <v>270</v>
      </c>
      <c r="G17" s="29"/>
      <c r="H17" s="3">
        <f>COUNTIFS('AI Usage Log'!M5:M70,"3 – High (content / analysis)",'AI Usage Log'!I5:I70,"*verbatim*")</f>
        <v>0</v>
      </c>
    </row>
    <row r="18" spans="1:8" ht="19.5" customHeight="1" x14ac:dyDescent="0.35">
      <c r="A18" s="27" t="s">
        <v>57</v>
      </c>
      <c r="B18" s="27"/>
      <c r="C18" s="27"/>
      <c r="D18" s="1">
        <f>COUNTIF('AI Usage Log'!F5:F70,A18)</f>
        <v>16</v>
      </c>
      <c r="E18" s="9"/>
      <c r="F18" s="29" t="s">
        <v>271</v>
      </c>
      <c r="G18" s="29"/>
      <c r="H18" s="3">
        <f>COUNTIF('AI Usage Log'!K5:K70,"N*")</f>
        <v>0</v>
      </c>
    </row>
    <row r="19" spans="1:8" ht="19.5" customHeight="1" x14ac:dyDescent="0.35">
      <c r="A19" s="28" t="s">
        <v>78</v>
      </c>
      <c r="B19" s="28"/>
      <c r="C19" s="28"/>
      <c r="D19" s="2">
        <f>COUNTIF('AI Usage Log'!F5:F70,A19)</f>
        <v>9</v>
      </c>
      <c r="E19" s="9"/>
      <c r="F19" s="9"/>
      <c r="G19" s="9"/>
      <c r="H19" s="9"/>
    </row>
    <row r="20" spans="1:8" ht="19.5" customHeight="1" x14ac:dyDescent="0.35">
      <c r="A20" s="27" t="s">
        <v>71</v>
      </c>
      <c r="B20" s="27"/>
      <c r="C20" s="27"/>
      <c r="D20" s="1">
        <f>COUNTIF('AI Usage Log'!F5:F70,A20)</f>
        <v>5</v>
      </c>
      <c r="E20" s="9"/>
      <c r="F20" s="9"/>
      <c r="G20" s="9"/>
      <c r="H20" s="9"/>
    </row>
    <row r="21" spans="1:8" ht="19.5" customHeight="1" x14ac:dyDescent="0.35">
      <c r="A21" s="28" t="s">
        <v>85</v>
      </c>
      <c r="B21" s="28"/>
      <c r="C21" s="28"/>
      <c r="D21" s="2">
        <f>COUNTIF('AI Usage Log'!F5:F70,A21)</f>
        <v>2</v>
      </c>
      <c r="E21" s="9"/>
      <c r="F21" s="9"/>
      <c r="G21" s="9"/>
      <c r="H21" s="9"/>
    </row>
    <row r="22" spans="1:8" ht="19.5" customHeight="1" x14ac:dyDescent="0.35">
      <c r="A22" s="27" t="s">
        <v>100</v>
      </c>
      <c r="B22" s="27"/>
      <c r="C22" s="27"/>
      <c r="D22" s="1">
        <f>COUNTIF('AI Usage Log'!F5:F70,A22)</f>
        <v>5</v>
      </c>
      <c r="E22" s="9"/>
      <c r="F22" s="9"/>
      <c r="G22" s="9"/>
      <c r="H22" s="9"/>
    </row>
    <row r="23" spans="1:8" ht="19.5" customHeight="1" x14ac:dyDescent="0.35">
      <c r="A23" s="28" t="s">
        <v>152</v>
      </c>
      <c r="B23" s="28"/>
      <c r="C23" s="28"/>
      <c r="D23" s="2">
        <f>COUNTIF('AI Usage Log'!F5:F70,A23)</f>
        <v>5</v>
      </c>
      <c r="E23" s="9"/>
      <c r="F23" s="9"/>
      <c r="G23" s="9"/>
      <c r="H23" s="9"/>
    </row>
    <row r="24" spans="1:8" ht="19.5" customHeight="1" x14ac:dyDescent="0.35">
      <c r="A24" s="27" t="s">
        <v>272</v>
      </c>
      <c r="B24" s="27"/>
      <c r="C24" s="27"/>
      <c r="D24" s="1">
        <f>COUNTIF('AI Usage Log'!F5:F70,A24)</f>
        <v>7</v>
      </c>
      <c r="E24" s="9"/>
      <c r="F24" s="9"/>
      <c r="G24" s="9"/>
      <c r="H24" s="9"/>
    </row>
    <row r="25" spans="1:8" ht="19.5" customHeight="1" x14ac:dyDescent="0.35">
      <c r="A25" s="28" t="s">
        <v>266</v>
      </c>
      <c r="B25" s="28"/>
      <c r="C25" s="28"/>
      <c r="D25" s="2">
        <f>COUNTIF('AI Usage Log'!F5:F70,A25)</f>
        <v>0</v>
      </c>
      <c r="E25" s="9"/>
      <c r="F25" s="9"/>
      <c r="G25" s="9"/>
      <c r="H25" s="9"/>
    </row>
  </sheetData>
  <mergeCells count="39">
    <mergeCell ref="A22:C22"/>
    <mergeCell ref="A23:C23"/>
    <mergeCell ref="A24:C24"/>
    <mergeCell ref="A25:C25"/>
    <mergeCell ref="A18:C18"/>
    <mergeCell ref="F18:G18"/>
    <mergeCell ref="A19:C19"/>
    <mergeCell ref="A20:C20"/>
    <mergeCell ref="A21:C21"/>
    <mergeCell ref="A15:D15"/>
    <mergeCell ref="F15:H15"/>
    <mergeCell ref="A16:C16"/>
    <mergeCell ref="F16:G16"/>
    <mergeCell ref="A17:C17"/>
    <mergeCell ref="F17:G17"/>
    <mergeCell ref="A11:C11"/>
    <mergeCell ref="F11:G11"/>
    <mergeCell ref="A12:C12"/>
    <mergeCell ref="F12:G12"/>
    <mergeCell ref="A13:C13"/>
    <mergeCell ref="F13:G13"/>
    <mergeCell ref="A8:C8"/>
    <mergeCell ref="F8:G8"/>
    <mergeCell ref="A9:C9"/>
    <mergeCell ref="F9:G9"/>
    <mergeCell ref="A10:C10"/>
    <mergeCell ref="F10:G10"/>
    <mergeCell ref="A5:B5"/>
    <mergeCell ref="C5:D5"/>
    <mergeCell ref="E5:F5"/>
    <mergeCell ref="G5:H5"/>
    <mergeCell ref="A7:D7"/>
    <mergeCell ref="F7:H7"/>
    <mergeCell ref="A1:H1"/>
    <mergeCell ref="A2:H2"/>
    <mergeCell ref="A4:B4"/>
    <mergeCell ref="C4:D4"/>
    <mergeCell ref="E4:F4"/>
    <mergeCell ref="G4:H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How To Use</vt:lpstr>
      <vt:lpstr>AI Usage Log</vt:lpstr>
      <vt:lpstr>Summary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Esther</dc:creator>
  <cp:lastModifiedBy>Esther Bos</cp:lastModifiedBy>
  <dcterms:created xsi:type="dcterms:W3CDTF">2026-06-14T22:54:02Z</dcterms:created>
  <dcterms:modified xsi:type="dcterms:W3CDTF">2026-06-15T14:58:32Z</dcterms:modified>
</cp:coreProperties>
</file>